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SONKA\Documents\ANALYSIS\Area20\WCVI-SanJuan-Juvenile\outputs\"/>
    </mc:Choice>
  </mc:AlternateContent>
  <xr:revisionPtr revIDLastSave="0" documentId="13_ncr:1_{49CB9450-79EF-4ECC-894B-E59E74976411}" xr6:coauthVersionLast="47" xr6:coauthVersionMax="47" xr10:uidLastSave="{00000000-0000-0000-0000-000000000000}"/>
  <bookViews>
    <workbookView xWindow="28680" yWindow="-120" windowWidth="29040" windowHeight="15720" xr2:uid="{956F22F5-7455-43C1-997B-540076B5BFC8}"/>
  </bookViews>
  <sheets>
    <sheet name="cocn mr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5" i="1" l="1"/>
  <c r="U174" i="1"/>
  <c r="U173" i="1"/>
  <c r="U163" i="1"/>
  <c r="U164" i="1"/>
  <c r="U165" i="1"/>
  <c r="U166" i="1"/>
  <c r="U167" i="1"/>
  <c r="U168" i="1"/>
  <c r="U169" i="1"/>
  <c r="U170" i="1"/>
  <c r="U171" i="1"/>
  <c r="U172" i="1"/>
  <c r="U162" i="1"/>
  <c r="U160" i="1"/>
  <c r="U161" i="1"/>
  <c r="U159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82" i="1"/>
  <c r="U81" i="1"/>
  <c r="U80" i="1"/>
  <c r="U79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61" i="1"/>
  <c r="U60" i="1"/>
  <c r="U59" i="1"/>
  <c r="U47" i="1"/>
  <c r="U48" i="1"/>
  <c r="U49" i="1"/>
  <c r="U50" i="1"/>
  <c r="U51" i="1"/>
  <c r="U52" i="1"/>
  <c r="U53" i="1"/>
  <c r="U54" i="1"/>
  <c r="U55" i="1"/>
  <c r="U56" i="1"/>
  <c r="U57" i="1"/>
  <c r="U58" i="1"/>
  <c r="U46" i="1"/>
  <c r="U40" i="1"/>
  <c r="U41" i="1"/>
  <c r="U42" i="1"/>
  <c r="U43" i="1"/>
  <c r="U44" i="1"/>
  <c r="U45" i="1"/>
  <c r="U39" i="1"/>
  <c r="U27" i="1"/>
  <c r="U28" i="1"/>
  <c r="U29" i="1"/>
  <c r="U30" i="1"/>
  <c r="U31" i="1"/>
  <c r="U32" i="1"/>
  <c r="U33" i="1"/>
  <c r="U34" i="1"/>
  <c r="U35" i="1"/>
  <c r="U36" i="1"/>
  <c r="U37" i="1"/>
  <c r="U38" i="1"/>
  <c r="U26" i="1"/>
  <c r="U23" i="1"/>
  <c r="U25" i="1"/>
  <c r="U24" i="1"/>
  <c r="U20" i="1"/>
  <c r="U21" i="1"/>
  <c r="U22" i="1"/>
  <c r="U19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3" i="1"/>
  <c r="U18" i="1"/>
  <c r="U17" i="1"/>
</calcChain>
</file>

<file path=xl/sharedStrings.xml><?xml version="1.0" encoding="utf-8"?>
<sst xmlns="http://schemas.openxmlformats.org/spreadsheetml/2006/main" count="196" uniqueCount="25">
  <si>
    <t>year</t>
  </si>
  <si>
    <t>date_stop</t>
  </si>
  <si>
    <t>cncount_Ucn</t>
  </si>
  <si>
    <t>cocount_Uco</t>
  </si>
  <si>
    <t>totalcount_U</t>
  </si>
  <si>
    <t>markedCN_released_Mcn</t>
  </si>
  <si>
    <t>markedCO_released_Mco</t>
  </si>
  <si>
    <t>total_marks_released_M</t>
  </si>
  <si>
    <t>cnrecap_Rcn.x</t>
  </si>
  <si>
    <t>corecap_Rco.x</t>
  </si>
  <si>
    <t>total_recaps_R_lag-1</t>
  </si>
  <si>
    <t>cnrecap_Rcn.y</t>
  </si>
  <si>
    <t>corecap_Rco.y</t>
  </si>
  <si>
    <t>total_recaps_R_lag0</t>
  </si>
  <si>
    <t>discharge</t>
  </si>
  <si>
    <t>trap_efficiency_e</t>
  </si>
  <si>
    <t>efficiency_type</t>
  </si>
  <si>
    <t>modelled</t>
  </si>
  <si>
    <t>LAGGED</t>
  </si>
  <si>
    <t>NOT LAGGED</t>
  </si>
  <si>
    <t>discharge_smoothed</t>
  </si>
  <si>
    <t>observed</t>
  </si>
  <si>
    <t>CN_markunmarked_Ccn</t>
  </si>
  <si>
    <t>CO_markunmarked_Cco</t>
  </si>
  <si>
    <t>total_markunmark_C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</si>
</sst>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%"/>
  </numFmts>
  <fonts count="20" x14ac:knownFonts="1">
    <font>
      <sz val="8"/>
      <color theme="1"/>
      <name val="Arial"/>
      <family val="2"/>
    </font>
    <font>
      <sz val="8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164" fontId="18" fillId="0" borderId="0" xfId="0" applyNumberFormat="1" applyFont="1"/>
    <xf numFmtId="1" fontId="18" fillId="0" borderId="0" xfId="0" applyNumberFormat="1" applyFont="1"/>
    <xf numFmtId="0" fontId="18" fillId="33" borderId="0" xfId="0" applyFont="1" applyFill="1"/>
    <xf numFmtId="0" fontId="18" fillId="34" borderId="0" xfId="0" applyFont="1" applyFill="1"/>
    <xf numFmtId="0" fontId="18" fillId="35" borderId="0" xfId="0" applyFont="1" applyFill="1"/>
    <xf numFmtId="165" fontId="18" fillId="0" borderId="0" xfId="1" applyNumberFormat="1" applyFont="1"/>
    <xf numFmtId="0" fontId="19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9C4FE-F603-445E-A8CB-B57B69C25D83}">
  <dimension ref="A1:U175"/>
  <sheetViews>
    <sheetView tabSelected="1" workbookViewId="0">
      <pane ySplit="2" topLeftCell="A3" activePane="bottomLeft" state="frozen"/>
      <selection pane="bottomLeft" activeCell="O1" sqref="O1"/>
    </sheetView>
  </sheetViews>
  <sheetFormatPr defaultRowHeight="12.75" x14ac:dyDescent="0.2"/>
  <cols>
    <col min="1" max="1" width="5.83203125" style="1" bestFit="1" customWidth="1"/>
    <col min="2" max="2" width="29.6640625" style="2" bestFit="1" customWidth="1"/>
    <col min="3" max="4" width="14.1640625" style="1" hidden="1" customWidth="1"/>
    <col min="5" max="5" width="14.1640625" style="1" bestFit="1" customWidth="1"/>
    <col min="6" max="6" width="26.6640625" style="1" hidden="1" customWidth="1"/>
    <col min="7" max="7" width="26.83203125" style="1" hidden="1" customWidth="1"/>
    <col min="8" max="8" width="25.33203125" style="1" bestFit="1" customWidth="1"/>
    <col min="9" max="10" width="15.83203125" style="4" bestFit="1" customWidth="1"/>
    <col min="11" max="11" width="22" style="4" bestFit="1" customWidth="1"/>
    <col min="12" max="13" width="15.83203125" style="5" bestFit="1" customWidth="1"/>
    <col min="14" max="14" width="21.1640625" style="5" bestFit="1" customWidth="1"/>
    <col min="15" max="16" width="24.6640625" style="8" bestFit="1" customWidth="1"/>
    <col min="17" max="17" width="20.83203125" style="8" bestFit="1" customWidth="1"/>
    <col min="18" max="18" width="10.5" style="1" bestFit="1" customWidth="1"/>
    <col min="19" max="19" width="17.6640625" style="7" bestFit="1" customWidth="1"/>
    <col min="20" max="20" width="15.6640625" style="1" bestFit="1" customWidth="1"/>
    <col min="21" max="21" width="26.33203125" style="1" customWidth="1"/>
    <col min="22" max="16384" width="9.33203125" style="1"/>
  </cols>
  <sheetData>
    <row r="1" spans="1:21" x14ac:dyDescent="0.2">
      <c r="I1" s="4" t="s">
        <v>18</v>
      </c>
      <c r="L1" s="5" t="s">
        <v>19</v>
      </c>
    </row>
    <row r="2" spans="1:21" x14ac:dyDescent="0.2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4" t="s">
        <v>8</v>
      </c>
      <c r="J2" s="4" t="s">
        <v>9</v>
      </c>
      <c r="K2" s="4" t="s">
        <v>10</v>
      </c>
      <c r="L2" s="5" t="s">
        <v>11</v>
      </c>
      <c r="M2" s="5" t="s">
        <v>12</v>
      </c>
      <c r="N2" s="5" t="s">
        <v>13</v>
      </c>
      <c r="O2" s="8" t="s">
        <v>22</v>
      </c>
      <c r="P2" s="8" t="s">
        <v>23</v>
      </c>
      <c r="Q2" s="8" t="s">
        <v>24</v>
      </c>
      <c r="R2" s="1" t="s">
        <v>14</v>
      </c>
      <c r="S2" s="7" t="s">
        <v>15</v>
      </c>
      <c r="T2" s="1" t="s">
        <v>16</v>
      </c>
      <c r="U2" s="1" t="s">
        <v>20</v>
      </c>
    </row>
    <row r="3" spans="1:21" x14ac:dyDescent="0.2">
      <c r="A3" s="1">
        <v>2024</v>
      </c>
      <c r="B3" s="2">
        <v>45364</v>
      </c>
      <c r="C3" s="3">
        <v>2</v>
      </c>
      <c r="D3" s="3">
        <v>0</v>
      </c>
      <c r="E3" s="3">
        <v>2</v>
      </c>
      <c r="F3" s="1">
        <v>2</v>
      </c>
      <c r="G3" s="1">
        <v>0</v>
      </c>
      <c r="H3" s="1">
        <v>2</v>
      </c>
      <c r="I3" s="4">
        <v>0</v>
      </c>
      <c r="J3" s="4">
        <v>0</v>
      </c>
      <c r="K3" s="4">
        <v>0</v>
      </c>
      <c r="L3" s="5">
        <v>0</v>
      </c>
      <c r="M3" s="5">
        <v>0</v>
      </c>
      <c r="N3" s="5">
        <v>0</v>
      </c>
      <c r="O3" s="8">
        <v>2</v>
      </c>
      <c r="P3" s="8">
        <v>0</v>
      </c>
      <c r="Q3" s="8">
        <v>2</v>
      </c>
      <c r="R3" s="1">
        <v>85.2</v>
      </c>
      <c r="T3" s="1" t="s">
        <v>17</v>
      </c>
      <c r="U3" s="1">
        <f>R3</f>
        <v>85.2</v>
      </c>
    </row>
    <row r="4" spans="1:21" x14ac:dyDescent="0.2">
      <c r="A4" s="1">
        <v>2024</v>
      </c>
      <c r="B4" s="2">
        <v>45365</v>
      </c>
      <c r="C4" s="3">
        <v>2</v>
      </c>
      <c r="D4" s="3">
        <v>1</v>
      </c>
      <c r="E4" s="3">
        <v>3</v>
      </c>
      <c r="F4" s="1">
        <v>0</v>
      </c>
      <c r="G4" s="1">
        <v>0</v>
      </c>
      <c r="H4" s="1">
        <v>0</v>
      </c>
      <c r="I4" s="4">
        <v>0</v>
      </c>
      <c r="J4" s="4">
        <v>0</v>
      </c>
      <c r="K4" s="4">
        <v>0</v>
      </c>
      <c r="L4" s="5">
        <v>0</v>
      </c>
      <c r="M4" s="5">
        <v>0</v>
      </c>
      <c r="N4" s="5">
        <v>0</v>
      </c>
      <c r="O4" s="8">
        <v>2</v>
      </c>
      <c r="P4" s="8">
        <v>1</v>
      </c>
      <c r="Q4" s="8">
        <v>3</v>
      </c>
      <c r="R4" s="1">
        <v>61.1</v>
      </c>
      <c r="T4" s="1" t="s">
        <v>17</v>
      </c>
      <c r="U4" s="1">
        <f t="shared" ref="U4:U16" si="0">R4</f>
        <v>61.1</v>
      </c>
    </row>
    <row r="5" spans="1:21" x14ac:dyDescent="0.2">
      <c r="A5" s="1">
        <v>2024</v>
      </c>
      <c r="B5" s="2">
        <v>45366</v>
      </c>
      <c r="C5" s="3">
        <v>1</v>
      </c>
      <c r="D5" s="3">
        <v>0</v>
      </c>
      <c r="E5" s="3">
        <v>1</v>
      </c>
      <c r="F5" s="1">
        <v>0</v>
      </c>
      <c r="G5" s="1">
        <v>0</v>
      </c>
      <c r="H5" s="1">
        <v>0</v>
      </c>
      <c r="I5" s="4">
        <v>0</v>
      </c>
      <c r="J5" s="4">
        <v>0</v>
      </c>
      <c r="K5" s="4">
        <v>0</v>
      </c>
      <c r="L5" s="5">
        <v>0</v>
      </c>
      <c r="M5" s="5">
        <v>0</v>
      </c>
      <c r="N5" s="5">
        <v>0</v>
      </c>
      <c r="O5" s="8">
        <v>1</v>
      </c>
      <c r="P5" s="8">
        <v>0</v>
      </c>
      <c r="Q5" s="8">
        <v>1</v>
      </c>
      <c r="R5" s="1">
        <v>52.8</v>
      </c>
      <c r="T5" s="1" t="s">
        <v>17</v>
      </c>
      <c r="U5" s="1">
        <f t="shared" si="0"/>
        <v>52.8</v>
      </c>
    </row>
    <row r="6" spans="1:21" x14ac:dyDescent="0.2">
      <c r="A6" s="1">
        <v>2024</v>
      </c>
      <c r="B6" s="2">
        <v>45367</v>
      </c>
      <c r="C6" s="3">
        <v>10.616698522164601</v>
      </c>
      <c r="D6" s="3">
        <v>24.210971457611201</v>
      </c>
      <c r="E6" s="3">
        <v>34.827669979775699</v>
      </c>
      <c r="F6" s="1">
        <v>0</v>
      </c>
      <c r="G6" s="1">
        <v>0</v>
      </c>
      <c r="H6" s="1">
        <v>0</v>
      </c>
      <c r="I6" s="4">
        <v>0</v>
      </c>
      <c r="J6" s="4">
        <v>0</v>
      </c>
      <c r="K6" s="4">
        <v>0</v>
      </c>
      <c r="L6" s="5">
        <v>0</v>
      </c>
      <c r="M6" s="5">
        <v>0</v>
      </c>
      <c r="N6" s="5">
        <v>0</v>
      </c>
      <c r="O6" s="8">
        <v>11</v>
      </c>
      <c r="P6" s="8">
        <v>24</v>
      </c>
      <c r="Q6" s="8">
        <v>35</v>
      </c>
      <c r="R6" s="1">
        <v>58.4</v>
      </c>
      <c r="T6" s="1" t="s">
        <v>17</v>
      </c>
      <c r="U6" s="1">
        <f t="shared" si="0"/>
        <v>58.4</v>
      </c>
    </row>
    <row r="7" spans="1:21" x14ac:dyDescent="0.2">
      <c r="A7" s="1">
        <v>2024</v>
      </c>
      <c r="B7" s="2">
        <v>45368</v>
      </c>
      <c r="C7" s="3">
        <v>15.6437896655536</v>
      </c>
      <c r="D7" s="3">
        <v>53.242549611702898</v>
      </c>
      <c r="E7" s="3">
        <v>68.886339277256496</v>
      </c>
      <c r="F7" s="1">
        <v>0</v>
      </c>
      <c r="G7" s="1">
        <v>0</v>
      </c>
      <c r="H7" s="1">
        <v>0</v>
      </c>
      <c r="I7" s="4">
        <v>0</v>
      </c>
      <c r="J7" s="4">
        <v>0</v>
      </c>
      <c r="K7" s="4">
        <v>0</v>
      </c>
      <c r="L7" s="5">
        <v>0</v>
      </c>
      <c r="M7" s="5">
        <v>0</v>
      </c>
      <c r="N7" s="5">
        <v>0</v>
      </c>
      <c r="O7" s="8">
        <v>16</v>
      </c>
      <c r="P7" s="8">
        <v>53</v>
      </c>
      <c r="Q7" s="8">
        <v>69</v>
      </c>
      <c r="R7" s="1">
        <v>60.7</v>
      </c>
      <c r="T7" s="1" t="s">
        <v>17</v>
      </c>
      <c r="U7" s="1">
        <f t="shared" si="0"/>
        <v>60.7</v>
      </c>
    </row>
    <row r="8" spans="1:21" x14ac:dyDescent="0.2">
      <c r="A8" s="1">
        <v>2024</v>
      </c>
      <c r="B8" s="2">
        <v>45369</v>
      </c>
      <c r="C8" s="3">
        <v>20.670880808942599</v>
      </c>
      <c r="D8" s="3">
        <v>92.8751642275178</v>
      </c>
      <c r="E8" s="3">
        <v>113.54604503646</v>
      </c>
      <c r="F8" s="1">
        <v>0</v>
      </c>
      <c r="G8" s="1">
        <v>0</v>
      </c>
      <c r="H8" s="1">
        <v>0</v>
      </c>
      <c r="I8" s="4">
        <v>0</v>
      </c>
      <c r="J8" s="4">
        <v>0</v>
      </c>
      <c r="K8" s="4">
        <v>0</v>
      </c>
      <c r="L8" s="5">
        <v>0</v>
      </c>
      <c r="M8" s="5">
        <v>0</v>
      </c>
      <c r="N8" s="5">
        <v>0</v>
      </c>
      <c r="O8" s="8">
        <v>21</v>
      </c>
      <c r="P8" s="8">
        <v>93</v>
      </c>
      <c r="Q8" s="8">
        <v>114</v>
      </c>
      <c r="R8" s="1">
        <v>53</v>
      </c>
      <c r="T8" s="1" t="s">
        <v>17</v>
      </c>
      <c r="U8" s="1">
        <f t="shared" si="0"/>
        <v>53</v>
      </c>
    </row>
    <row r="9" spans="1:21" x14ac:dyDescent="0.2">
      <c r="A9" s="1">
        <v>2024</v>
      </c>
      <c r="B9" s="2">
        <v>45370</v>
      </c>
      <c r="C9" s="3">
        <v>36</v>
      </c>
      <c r="D9" s="3">
        <v>151</v>
      </c>
      <c r="E9" s="3">
        <v>187</v>
      </c>
      <c r="F9" s="1">
        <v>24</v>
      </c>
      <c r="G9" s="1">
        <v>146</v>
      </c>
      <c r="H9" s="1">
        <v>170</v>
      </c>
      <c r="I9" s="4">
        <v>0</v>
      </c>
      <c r="J9" s="4">
        <v>0</v>
      </c>
      <c r="K9" s="4">
        <v>0</v>
      </c>
      <c r="L9" s="5">
        <v>0</v>
      </c>
      <c r="M9" s="5">
        <v>0</v>
      </c>
      <c r="N9" s="5">
        <v>0</v>
      </c>
      <c r="O9" s="8">
        <v>36</v>
      </c>
      <c r="P9" s="8">
        <v>151</v>
      </c>
      <c r="Q9" s="8">
        <v>187</v>
      </c>
      <c r="R9" s="1">
        <v>47.6</v>
      </c>
      <c r="T9" s="1" t="s">
        <v>17</v>
      </c>
      <c r="U9" s="1">
        <f t="shared" si="0"/>
        <v>47.6</v>
      </c>
    </row>
    <row r="10" spans="1:21" x14ac:dyDescent="0.2">
      <c r="A10" s="1">
        <v>2024</v>
      </c>
      <c r="B10" s="2">
        <v>45371</v>
      </c>
      <c r="C10" s="3">
        <v>14</v>
      </c>
      <c r="D10" s="3">
        <v>14</v>
      </c>
      <c r="E10" s="3">
        <v>28</v>
      </c>
      <c r="F10" s="1">
        <v>0</v>
      </c>
      <c r="G10" s="1">
        <v>0</v>
      </c>
      <c r="H10" s="1">
        <v>0</v>
      </c>
      <c r="I10" s="4">
        <v>0</v>
      </c>
      <c r="J10" s="4">
        <v>0</v>
      </c>
      <c r="K10" s="4">
        <v>0</v>
      </c>
      <c r="L10" s="5">
        <v>0</v>
      </c>
      <c r="M10" s="5">
        <v>0</v>
      </c>
      <c r="N10" s="5">
        <v>0</v>
      </c>
      <c r="O10" s="8">
        <v>14</v>
      </c>
      <c r="P10" s="8">
        <v>14</v>
      </c>
      <c r="Q10" s="8">
        <v>28</v>
      </c>
      <c r="R10" s="1">
        <v>41.3</v>
      </c>
      <c r="T10" s="1" t="s">
        <v>17</v>
      </c>
      <c r="U10" s="1">
        <f t="shared" si="0"/>
        <v>41.3</v>
      </c>
    </row>
    <row r="11" spans="1:21" x14ac:dyDescent="0.2">
      <c r="A11" s="1">
        <v>2024</v>
      </c>
      <c r="B11" s="2">
        <v>45372</v>
      </c>
      <c r="C11" s="3">
        <v>40</v>
      </c>
      <c r="D11" s="3">
        <v>63</v>
      </c>
      <c r="E11" s="3">
        <v>103</v>
      </c>
      <c r="F11" s="1">
        <v>0</v>
      </c>
      <c r="G11" s="1">
        <v>0</v>
      </c>
      <c r="H11" s="1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8">
        <v>40</v>
      </c>
      <c r="P11" s="8">
        <v>63</v>
      </c>
      <c r="Q11" s="8">
        <v>103</v>
      </c>
      <c r="R11" s="1">
        <v>34.700000000000003</v>
      </c>
      <c r="T11" s="1" t="s">
        <v>17</v>
      </c>
      <c r="U11" s="1">
        <f t="shared" si="0"/>
        <v>34.700000000000003</v>
      </c>
    </row>
    <row r="12" spans="1:21" x14ac:dyDescent="0.2">
      <c r="A12" s="1">
        <v>2024</v>
      </c>
      <c r="B12" s="2">
        <v>45373</v>
      </c>
      <c r="C12" s="3">
        <v>26.159178161135799</v>
      </c>
      <c r="D12" s="3">
        <v>40.075358523551799</v>
      </c>
      <c r="E12" s="3">
        <v>66.234536684687598</v>
      </c>
      <c r="F12" s="1">
        <v>0</v>
      </c>
      <c r="G12" s="1">
        <v>0</v>
      </c>
      <c r="H12" s="1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8">
        <v>26</v>
      </c>
      <c r="P12" s="8">
        <v>40</v>
      </c>
      <c r="Q12" s="8">
        <v>66</v>
      </c>
      <c r="R12" s="1">
        <v>33</v>
      </c>
      <c r="T12" s="1" t="s">
        <v>17</v>
      </c>
      <c r="U12" s="1">
        <f t="shared" si="0"/>
        <v>33</v>
      </c>
    </row>
    <row r="13" spans="1:21" x14ac:dyDescent="0.2">
      <c r="A13" s="1">
        <v>2024</v>
      </c>
      <c r="B13" s="2">
        <v>45374</v>
      </c>
      <c r="C13" s="3">
        <v>23.5656167866033</v>
      </c>
      <c r="D13" s="3">
        <v>25.130055753141502</v>
      </c>
      <c r="E13" s="3">
        <v>48.695672539744798</v>
      </c>
      <c r="F13" s="1">
        <v>0</v>
      </c>
      <c r="G13" s="1">
        <v>0</v>
      </c>
      <c r="H13" s="1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8">
        <v>24</v>
      </c>
      <c r="P13" s="8">
        <v>25</v>
      </c>
      <c r="Q13" s="8">
        <v>49</v>
      </c>
      <c r="R13" s="1">
        <v>35.700000000000003</v>
      </c>
      <c r="T13" s="1" t="s">
        <v>17</v>
      </c>
      <c r="U13" s="1">
        <f t="shared" si="0"/>
        <v>35.700000000000003</v>
      </c>
    </row>
    <row r="14" spans="1:21" x14ac:dyDescent="0.2">
      <c r="A14" s="1">
        <v>2024</v>
      </c>
      <c r="B14" s="2">
        <v>45375</v>
      </c>
      <c r="C14" s="3">
        <v>20.972055412070901</v>
      </c>
      <c r="D14" s="3">
        <v>15.1883570412722</v>
      </c>
      <c r="E14" s="3">
        <v>36.160412453343099</v>
      </c>
      <c r="F14" s="1">
        <v>0</v>
      </c>
      <c r="G14" s="1">
        <v>0</v>
      </c>
      <c r="H14" s="1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8">
        <v>21</v>
      </c>
      <c r="P14" s="8">
        <v>15</v>
      </c>
      <c r="Q14" s="8">
        <v>36</v>
      </c>
      <c r="R14" s="1">
        <v>39.200000000000003</v>
      </c>
      <c r="T14" s="1" t="s">
        <v>17</v>
      </c>
      <c r="U14" s="1">
        <f t="shared" si="0"/>
        <v>39.200000000000003</v>
      </c>
    </row>
    <row r="15" spans="1:21" x14ac:dyDescent="0.2">
      <c r="A15" s="1">
        <v>2024</v>
      </c>
      <c r="B15" s="2">
        <v>45376</v>
      </c>
      <c r="C15" s="3">
        <v>18.378494037538399</v>
      </c>
      <c r="D15" s="3">
        <v>8.27078711291262</v>
      </c>
      <c r="E15" s="3">
        <v>26.649281150450999</v>
      </c>
      <c r="F15" s="1">
        <v>0</v>
      </c>
      <c r="G15" s="1">
        <v>0</v>
      </c>
      <c r="H15" s="1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8">
        <v>18</v>
      </c>
      <c r="P15" s="8">
        <v>8</v>
      </c>
      <c r="Q15" s="8">
        <v>27</v>
      </c>
      <c r="R15" s="1">
        <v>31.8</v>
      </c>
      <c r="T15" s="1" t="s">
        <v>17</v>
      </c>
      <c r="U15" s="1">
        <f t="shared" si="0"/>
        <v>31.8</v>
      </c>
    </row>
    <row r="16" spans="1:21" x14ac:dyDescent="0.2">
      <c r="A16" s="1">
        <v>2024</v>
      </c>
      <c r="B16" s="2">
        <v>45377</v>
      </c>
      <c r="C16" s="3">
        <v>3</v>
      </c>
      <c r="D16" s="3">
        <v>3</v>
      </c>
      <c r="E16" s="3">
        <v>6</v>
      </c>
      <c r="F16" s="1">
        <v>3</v>
      </c>
      <c r="G16" s="1">
        <v>10</v>
      </c>
      <c r="H16" s="1">
        <v>13</v>
      </c>
      <c r="I16" s="4">
        <v>0</v>
      </c>
      <c r="J16" s="4">
        <v>0</v>
      </c>
      <c r="K16" s="4">
        <v>0</v>
      </c>
      <c r="L16" s="5">
        <v>0</v>
      </c>
      <c r="M16" s="5">
        <v>0</v>
      </c>
      <c r="N16" s="5">
        <v>0</v>
      </c>
      <c r="O16" s="8">
        <v>3</v>
      </c>
      <c r="P16" s="8">
        <v>3</v>
      </c>
      <c r="Q16" s="8">
        <v>6</v>
      </c>
      <c r="R16" s="1">
        <v>28.7</v>
      </c>
      <c r="T16" s="1" t="s">
        <v>17</v>
      </c>
      <c r="U16" s="1">
        <f t="shared" si="0"/>
        <v>28.7</v>
      </c>
    </row>
    <row r="17" spans="1:21" x14ac:dyDescent="0.2">
      <c r="A17" s="1">
        <v>2024</v>
      </c>
      <c r="B17" s="2">
        <v>45378</v>
      </c>
      <c r="C17" s="3">
        <v>32</v>
      </c>
      <c r="D17" s="3">
        <v>318</v>
      </c>
      <c r="E17" s="3">
        <v>350</v>
      </c>
      <c r="F17" s="1">
        <v>32</v>
      </c>
      <c r="G17" s="1">
        <v>319</v>
      </c>
      <c r="H17" s="1">
        <v>351</v>
      </c>
      <c r="I17" s="4">
        <v>1</v>
      </c>
      <c r="J17" s="4">
        <v>1</v>
      </c>
      <c r="K17" s="4">
        <v>2</v>
      </c>
      <c r="L17" s="5">
        <v>0</v>
      </c>
      <c r="M17" s="5">
        <v>0</v>
      </c>
      <c r="N17" s="5">
        <v>0</v>
      </c>
      <c r="O17" s="8">
        <v>32</v>
      </c>
      <c r="P17" s="8">
        <v>318</v>
      </c>
      <c r="Q17" s="8">
        <v>350</v>
      </c>
      <c r="R17" s="1">
        <v>32.4</v>
      </c>
      <c r="S17" s="7">
        <v>5.6980056980057E-3</v>
      </c>
      <c r="T17" s="1" t="s">
        <v>21</v>
      </c>
      <c r="U17" s="6">
        <f>AVERAGE(R17:R18)</f>
        <v>36</v>
      </c>
    </row>
    <row r="18" spans="1:21" x14ac:dyDescent="0.2">
      <c r="A18" s="1">
        <v>2024</v>
      </c>
      <c r="B18" s="2">
        <v>45379</v>
      </c>
      <c r="C18" s="3">
        <v>14</v>
      </c>
      <c r="D18" s="3">
        <v>342</v>
      </c>
      <c r="E18" s="3">
        <v>356</v>
      </c>
      <c r="F18" s="1">
        <v>0</v>
      </c>
      <c r="G18" s="1">
        <v>0</v>
      </c>
      <c r="H18" s="1">
        <v>0</v>
      </c>
      <c r="I18" s="4">
        <v>0</v>
      </c>
      <c r="J18" s="4">
        <v>0</v>
      </c>
      <c r="K18" s="4">
        <v>0</v>
      </c>
      <c r="L18" s="5">
        <v>1</v>
      </c>
      <c r="M18" s="5">
        <v>1</v>
      </c>
      <c r="N18" s="5">
        <v>2</v>
      </c>
      <c r="O18" s="8">
        <v>15</v>
      </c>
      <c r="P18" s="8">
        <v>343</v>
      </c>
      <c r="Q18" s="8">
        <v>358</v>
      </c>
      <c r="R18" s="1">
        <v>39.6</v>
      </c>
      <c r="T18" s="1" t="s">
        <v>17</v>
      </c>
      <c r="U18" s="6">
        <f>AVERAGE(R17:R18)</f>
        <v>36</v>
      </c>
    </row>
    <row r="19" spans="1:21" x14ac:dyDescent="0.2">
      <c r="A19" s="1">
        <v>2024</v>
      </c>
      <c r="B19" s="2">
        <v>45380</v>
      </c>
      <c r="C19" s="3">
        <v>23.848115073357899</v>
      </c>
      <c r="D19" s="3">
        <v>257.262848962541</v>
      </c>
      <c r="E19" s="3">
        <v>281.11096403589897</v>
      </c>
      <c r="F19" s="1">
        <v>0</v>
      </c>
      <c r="G19" s="1">
        <v>0</v>
      </c>
      <c r="H19" s="1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8">
        <v>24</v>
      </c>
      <c r="P19" s="8">
        <v>257</v>
      </c>
      <c r="Q19" s="8">
        <v>281</v>
      </c>
      <c r="R19" s="1">
        <v>48</v>
      </c>
      <c r="T19" s="1" t="s">
        <v>17</v>
      </c>
      <c r="U19" s="1">
        <f>R19</f>
        <v>48</v>
      </c>
    </row>
    <row r="20" spans="1:21" x14ac:dyDescent="0.2">
      <c r="A20" s="1">
        <v>2024</v>
      </c>
      <c r="B20" s="2">
        <v>45381</v>
      </c>
      <c r="C20" s="3">
        <v>27.132197107444298</v>
      </c>
      <c r="D20" s="3">
        <v>223.74888054853901</v>
      </c>
      <c r="E20" s="3">
        <v>250.88107765598301</v>
      </c>
      <c r="F20" s="1">
        <v>0</v>
      </c>
      <c r="G20" s="1">
        <v>0</v>
      </c>
      <c r="H20" s="1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8">
        <v>27</v>
      </c>
      <c r="P20" s="8">
        <v>224</v>
      </c>
      <c r="Q20" s="8">
        <v>251</v>
      </c>
      <c r="R20" s="1">
        <v>41</v>
      </c>
      <c r="T20" s="1" t="s">
        <v>17</v>
      </c>
      <c r="U20" s="1">
        <f t="shared" ref="U20:U23" si="1">R20</f>
        <v>41</v>
      </c>
    </row>
    <row r="21" spans="1:21" x14ac:dyDescent="0.2">
      <c r="A21" s="1">
        <v>2024</v>
      </c>
      <c r="B21" s="2">
        <v>45382</v>
      </c>
      <c r="C21" s="3">
        <v>30.416279141530701</v>
      </c>
      <c r="D21" s="3">
        <v>234.785183642259</v>
      </c>
      <c r="E21" s="3">
        <v>265.20146278379002</v>
      </c>
      <c r="F21" s="1">
        <v>0</v>
      </c>
      <c r="G21" s="1">
        <v>0</v>
      </c>
      <c r="H21" s="1">
        <v>0</v>
      </c>
      <c r="I21" s="4">
        <v>0</v>
      </c>
      <c r="J21" s="4">
        <v>0</v>
      </c>
      <c r="K21" s="4">
        <v>0</v>
      </c>
      <c r="L21" s="5">
        <v>0</v>
      </c>
      <c r="M21" s="5">
        <v>0</v>
      </c>
      <c r="N21" s="5">
        <v>0</v>
      </c>
      <c r="O21" s="8">
        <v>30</v>
      </c>
      <c r="P21" s="8">
        <v>235</v>
      </c>
      <c r="Q21" s="8">
        <v>265</v>
      </c>
      <c r="R21" s="1">
        <v>33.4</v>
      </c>
      <c r="T21" s="1" t="s">
        <v>17</v>
      </c>
      <c r="U21" s="1">
        <f t="shared" si="1"/>
        <v>33.4</v>
      </c>
    </row>
    <row r="22" spans="1:21" x14ac:dyDescent="0.2">
      <c r="A22" s="1">
        <v>2024</v>
      </c>
      <c r="B22" s="2">
        <v>45383</v>
      </c>
      <c r="C22" s="3">
        <v>33.700361175617097</v>
      </c>
      <c r="D22" s="3">
        <v>292.56917839642699</v>
      </c>
      <c r="E22" s="3">
        <v>326.26953957204398</v>
      </c>
      <c r="F22" s="1">
        <v>0</v>
      </c>
      <c r="G22" s="1">
        <v>0</v>
      </c>
      <c r="H22" s="1">
        <v>0</v>
      </c>
      <c r="I22" s="4">
        <v>0</v>
      </c>
      <c r="J22" s="4">
        <v>0</v>
      </c>
      <c r="K22" s="4">
        <v>0</v>
      </c>
      <c r="L22" s="5">
        <v>0</v>
      </c>
      <c r="M22" s="5">
        <v>0</v>
      </c>
      <c r="N22" s="5">
        <v>0</v>
      </c>
      <c r="O22" s="8">
        <v>34</v>
      </c>
      <c r="P22" s="8">
        <v>293</v>
      </c>
      <c r="Q22" s="8">
        <v>326</v>
      </c>
      <c r="R22" s="1">
        <v>28.5</v>
      </c>
      <c r="T22" s="1" t="s">
        <v>17</v>
      </c>
      <c r="U22" s="1">
        <f t="shared" si="1"/>
        <v>28.5</v>
      </c>
    </row>
    <row r="23" spans="1:21" x14ac:dyDescent="0.2">
      <c r="A23" s="1">
        <v>2024</v>
      </c>
      <c r="B23" s="2">
        <v>45384</v>
      </c>
      <c r="C23" s="3">
        <v>36.9844432097035</v>
      </c>
      <c r="D23" s="3">
        <v>408.60614094376803</v>
      </c>
      <c r="E23" s="3">
        <v>445.59058415347101</v>
      </c>
      <c r="F23" s="1">
        <v>0</v>
      </c>
      <c r="G23" s="1">
        <v>0</v>
      </c>
      <c r="H23" s="1">
        <v>0</v>
      </c>
      <c r="I23" s="4">
        <v>0</v>
      </c>
      <c r="J23" s="4">
        <v>0</v>
      </c>
      <c r="K23" s="4">
        <v>0</v>
      </c>
      <c r="L23" s="5">
        <v>0</v>
      </c>
      <c r="M23" s="5">
        <v>0</v>
      </c>
      <c r="N23" s="5">
        <v>0</v>
      </c>
      <c r="O23" s="8">
        <v>37</v>
      </c>
      <c r="P23" s="8">
        <v>409</v>
      </c>
      <c r="Q23" s="8">
        <v>446</v>
      </c>
      <c r="R23" s="1">
        <v>26.5</v>
      </c>
      <c r="T23" s="1" t="s">
        <v>17</v>
      </c>
      <c r="U23" s="1">
        <f t="shared" si="1"/>
        <v>26.5</v>
      </c>
    </row>
    <row r="24" spans="1:21" x14ac:dyDescent="0.2">
      <c r="A24" s="1">
        <v>2024</v>
      </c>
      <c r="B24" s="2">
        <v>45385</v>
      </c>
      <c r="C24" s="3">
        <v>35</v>
      </c>
      <c r="D24" s="3">
        <v>606</v>
      </c>
      <c r="E24" s="3">
        <v>641</v>
      </c>
      <c r="F24" s="1">
        <v>35</v>
      </c>
      <c r="G24" s="1">
        <v>492</v>
      </c>
      <c r="H24" s="1">
        <v>527</v>
      </c>
      <c r="I24" s="4">
        <v>0</v>
      </c>
      <c r="J24" s="4">
        <v>10</v>
      </c>
      <c r="K24" s="4">
        <v>10</v>
      </c>
      <c r="L24" s="5">
        <v>0</v>
      </c>
      <c r="M24" s="5">
        <v>0</v>
      </c>
      <c r="N24" s="5">
        <v>0</v>
      </c>
      <c r="O24" s="8">
        <v>35</v>
      </c>
      <c r="P24" s="8">
        <v>606</v>
      </c>
      <c r="Q24" s="8">
        <v>641</v>
      </c>
      <c r="R24" s="1">
        <v>30.9</v>
      </c>
      <c r="S24" s="7">
        <v>1.8975332068311201E-2</v>
      </c>
      <c r="T24" s="1" t="s">
        <v>21</v>
      </c>
      <c r="U24" s="6">
        <f>AVERAGE(R24:R25)</f>
        <v>28.6</v>
      </c>
    </row>
    <row r="25" spans="1:21" x14ac:dyDescent="0.2">
      <c r="A25" s="1">
        <v>2024</v>
      </c>
      <c r="B25" s="2">
        <v>45386</v>
      </c>
      <c r="C25" s="3">
        <v>52</v>
      </c>
      <c r="D25" s="3">
        <v>973</v>
      </c>
      <c r="E25" s="3">
        <v>1025</v>
      </c>
      <c r="F25" s="1">
        <v>0</v>
      </c>
      <c r="G25" s="1">
        <v>0</v>
      </c>
      <c r="H25" s="1">
        <v>0</v>
      </c>
      <c r="I25" s="4">
        <v>0</v>
      </c>
      <c r="J25" s="4">
        <v>0</v>
      </c>
      <c r="K25" s="4">
        <v>0</v>
      </c>
      <c r="L25" s="5">
        <v>0</v>
      </c>
      <c r="M25" s="5">
        <v>10</v>
      </c>
      <c r="N25" s="5">
        <v>10</v>
      </c>
      <c r="O25" s="8">
        <v>52</v>
      </c>
      <c r="P25" s="8">
        <v>983</v>
      </c>
      <c r="Q25" s="8">
        <v>1035</v>
      </c>
      <c r="R25" s="1">
        <v>26.3</v>
      </c>
      <c r="T25" s="1" t="s">
        <v>17</v>
      </c>
      <c r="U25" s="6">
        <f>AVERAGE(R24:R25)</f>
        <v>28.6</v>
      </c>
    </row>
    <row r="26" spans="1:21" x14ac:dyDescent="0.2">
      <c r="A26" s="1">
        <v>2024</v>
      </c>
      <c r="B26" s="2">
        <v>45387</v>
      </c>
      <c r="C26" s="3">
        <v>68</v>
      </c>
      <c r="D26" s="3">
        <v>1724</v>
      </c>
      <c r="E26" s="3">
        <v>1792</v>
      </c>
      <c r="F26" s="1">
        <v>0</v>
      </c>
      <c r="G26" s="1">
        <v>0</v>
      </c>
      <c r="H26" s="1">
        <v>0</v>
      </c>
      <c r="I26" s="4">
        <v>0</v>
      </c>
      <c r="J26" s="4">
        <v>0</v>
      </c>
      <c r="K26" s="4">
        <v>0</v>
      </c>
      <c r="L26" s="5">
        <v>0</v>
      </c>
      <c r="M26" s="5">
        <v>0</v>
      </c>
      <c r="N26" s="5">
        <v>0</v>
      </c>
      <c r="O26" s="8">
        <v>68</v>
      </c>
      <c r="P26" s="8">
        <v>1724</v>
      </c>
      <c r="Q26" s="8">
        <v>1792</v>
      </c>
      <c r="R26" s="1">
        <v>22.9</v>
      </c>
      <c r="T26" s="1" t="s">
        <v>17</v>
      </c>
      <c r="U26" s="1">
        <f>R26</f>
        <v>22.9</v>
      </c>
    </row>
    <row r="27" spans="1:21" x14ac:dyDescent="0.2">
      <c r="A27" s="1">
        <v>2024</v>
      </c>
      <c r="B27" s="2">
        <v>45388</v>
      </c>
      <c r="C27" s="3">
        <v>42.445562095255703</v>
      </c>
      <c r="D27" s="3">
        <v>1065.6671866645199</v>
      </c>
      <c r="E27" s="3">
        <v>1108.1127487597701</v>
      </c>
      <c r="F27" s="1">
        <v>0</v>
      </c>
      <c r="G27" s="1">
        <v>0</v>
      </c>
      <c r="H27" s="1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8">
        <v>42</v>
      </c>
      <c r="P27" s="8">
        <v>1066</v>
      </c>
      <c r="Q27" s="8">
        <v>1108</v>
      </c>
      <c r="R27" s="1">
        <v>20.5</v>
      </c>
      <c r="T27" s="1" t="s">
        <v>17</v>
      </c>
      <c r="U27" s="1">
        <f t="shared" ref="U27:U38" si="2">R27</f>
        <v>20.5</v>
      </c>
    </row>
    <row r="28" spans="1:21" x14ac:dyDescent="0.2">
      <c r="A28" s="1">
        <v>2024</v>
      </c>
      <c r="B28" s="2">
        <v>45389</v>
      </c>
      <c r="C28" s="3">
        <v>34.4052770427434</v>
      </c>
      <c r="D28" s="3">
        <v>619.51761369378801</v>
      </c>
      <c r="E28" s="3">
        <v>653.92289073653205</v>
      </c>
      <c r="F28" s="1">
        <v>0</v>
      </c>
      <c r="G28" s="1">
        <v>0</v>
      </c>
      <c r="H28" s="1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8">
        <v>34</v>
      </c>
      <c r="P28" s="8">
        <v>620</v>
      </c>
      <c r="Q28" s="8">
        <v>654</v>
      </c>
      <c r="R28" s="1">
        <v>20</v>
      </c>
      <c r="T28" s="1" t="s">
        <v>17</v>
      </c>
      <c r="U28" s="1">
        <f t="shared" si="2"/>
        <v>20</v>
      </c>
    </row>
    <row r="29" spans="1:21" x14ac:dyDescent="0.2">
      <c r="A29" s="1">
        <v>2024</v>
      </c>
      <c r="B29" s="2">
        <v>45390</v>
      </c>
      <c r="C29" s="3">
        <v>26.364991990231001</v>
      </c>
      <c r="D29" s="3">
        <v>296.71917359225</v>
      </c>
      <c r="E29" s="3">
        <v>323.08416558248098</v>
      </c>
      <c r="F29" s="1">
        <v>0</v>
      </c>
      <c r="G29" s="1">
        <v>0</v>
      </c>
      <c r="H29" s="1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8">
        <v>26</v>
      </c>
      <c r="P29" s="8">
        <v>297</v>
      </c>
      <c r="Q29" s="8">
        <v>323</v>
      </c>
      <c r="R29" s="1">
        <v>46.5</v>
      </c>
      <c r="T29" s="1" t="s">
        <v>17</v>
      </c>
      <c r="U29" s="1">
        <f t="shared" si="2"/>
        <v>46.5</v>
      </c>
    </row>
    <row r="30" spans="1:21" x14ac:dyDescent="0.2">
      <c r="A30" s="1">
        <v>2024</v>
      </c>
      <c r="B30" s="2">
        <v>45391</v>
      </c>
      <c r="C30" s="3">
        <v>16</v>
      </c>
      <c r="D30" s="3">
        <v>33</v>
      </c>
      <c r="E30" s="3">
        <v>49</v>
      </c>
      <c r="F30" s="1">
        <v>16</v>
      </c>
      <c r="G30" s="1">
        <v>34</v>
      </c>
      <c r="H30" s="1">
        <v>50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8">
        <v>16</v>
      </c>
      <c r="P30" s="8">
        <v>33</v>
      </c>
      <c r="Q30" s="8">
        <v>49</v>
      </c>
      <c r="R30" s="1">
        <v>96</v>
      </c>
      <c r="T30" s="1" t="s">
        <v>17</v>
      </c>
      <c r="U30" s="1">
        <f t="shared" si="2"/>
        <v>96</v>
      </c>
    </row>
    <row r="31" spans="1:21" x14ac:dyDescent="0.2">
      <c r="A31" s="1">
        <v>2024</v>
      </c>
      <c r="B31" s="2">
        <v>45392</v>
      </c>
      <c r="C31" s="3">
        <v>0</v>
      </c>
      <c r="D31" s="3">
        <v>97</v>
      </c>
      <c r="E31" s="3">
        <v>97</v>
      </c>
      <c r="F31" s="1">
        <v>0</v>
      </c>
      <c r="G31" s="1">
        <v>79</v>
      </c>
      <c r="H31" s="1">
        <v>79</v>
      </c>
      <c r="I31" s="4">
        <v>0</v>
      </c>
      <c r="J31" s="4">
        <v>0</v>
      </c>
      <c r="K31" s="4">
        <v>0</v>
      </c>
      <c r="L31" s="5">
        <v>0</v>
      </c>
      <c r="M31" s="5">
        <v>0</v>
      </c>
      <c r="N31" s="5">
        <v>0</v>
      </c>
      <c r="O31" s="8">
        <v>0</v>
      </c>
      <c r="P31" s="8">
        <v>97</v>
      </c>
      <c r="Q31" s="8">
        <v>97</v>
      </c>
      <c r="R31" s="1">
        <v>51.9</v>
      </c>
      <c r="T31" s="1" t="s">
        <v>17</v>
      </c>
      <c r="U31" s="1">
        <f t="shared" si="2"/>
        <v>51.9</v>
      </c>
    </row>
    <row r="32" spans="1:21" x14ac:dyDescent="0.2">
      <c r="A32" s="1">
        <v>2024</v>
      </c>
      <c r="B32" s="2">
        <v>45393</v>
      </c>
      <c r="C32" s="3">
        <v>24</v>
      </c>
      <c r="D32" s="3">
        <v>823</v>
      </c>
      <c r="E32" s="3">
        <v>847</v>
      </c>
      <c r="F32" s="1">
        <v>0</v>
      </c>
      <c r="G32" s="1">
        <v>0</v>
      </c>
      <c r="H32" s="1">
        <v>0</v>
      </c>
      <c r="I32" s="4">
        <v>0</v>
      </c>
      <c r="J32" s="4">
        <v>0</v>
      </c>
      <c r="K32" s="4">
        <v>0</v>
      </c>
      <c r="L32" s="5">
        <v>0</v>
      </c>
      <c r="M32" s="5">
        <v>0</v>
      </c>
      <c r="N32" s="5">
        <v>0</v>
      </c>
      <c r="O32" s="8">
        <v>24</v>
      </c>
      <c r="P32" s="8">
        <v>823</v>
      </c>
      <c r="Q32" s="8">
        <v>847</v>
      </c>
      <c r="R32" s="1">
        <v>42.1</v>
      </c>
      <c r="T32" s="1" t="s">
        <v>17</v>
      </c>
      <c r="U32" s="1">
        <f t="shared" si="2"/>
        <v>42.1</v>
      </c>
    </row>
    <row r="33" spans="1:21" x14ac:dyDescent="0.2">
      <c r="A33" s="1">
        <v>2024</v>
      </c>
      <c r="B33" s="2">
        <v>45394</v>
      </c>
      <c r="C33" s="3">
        <v>0</v>
      </c>
      <c r="D33" s="3">
        <v>79</v>
      </c>
      <c r="E33" s="3">
        <v>79</v>
      </c>
      <c r="F33" s="1">
        <v>0</v>
      </c>
      <c r="G33" s="1">
        <v>0</v>
      </c>
      <c r="H33" s="1">
        <v>0</v>
      </c>
      <c r="I33" s="4">
        <v>0</v>
      </c>
      <c r="J33" s="4">
        <v>0</v>
      </c>
      <c r="K33" s="4">
        <v>0</v>
      </c>
      <c r="L33" s="5">
        <v>0</v>
      </c>
      <c r="M33" s="5">
        <v>0</v>
      </c>
      <c r="N33" s="5">
        <v>0</v>
      </c>
      <c r="O33" s="8">
        <v>0</v>
      </c>
      <c r="P33" s="8">
        <v>79</v>
      </c>
      <c r="Q33" s="8">
        <v>79</v>
      </c>
      <c r="R33" s="1">
        <v>45.3</v>
      </c>
      <c r="T33" s="1" t="s">
        <v>17</v>
      </c>
      <c r="U33" s="1">
        <f t="shared" si="2"/>
        <v>45.3</v>
      </c>
    </row>
    <row r="34" spans="1:21" x14ac:dyDescent="0.2">
      <c r="A34" s="1">
        <v>2024</v>
      </c>
      <c r="B34" s="2">
        <v>45395</v>
      </c>
      <c r="C34" s="3">
        <v>5.8731413218050701</v>
      </c>
      <c r="D34" s="3">
        <v>50.6747059796215</v>
      </c>
      <c r="E34" s="3">
        <v>56.5478473014266</v>
      </c>
      <c r="F34" s="1">
        <v>0</v>
      </c>
      <c r="G34" s="1">
        <v>0</v>
      </c>
      <c r="H34" s="1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8">
        <v>6</v>
      </c>
      <c r="P34" s="8">
        <v>51</v>
      </c>
      <c r="Q34" s="8">
        <v>57</v>
      </c>
      <c r="R34" s="1">
        <v>36</v>
      </c>
      <c r="T34" s="1" t="s">
        <v>17</v>
      </c>
      <c r="U34" s="1">
        <f t="shared" si="2"/>
        <v>36</v>
      </c>
    </row>
    <row r="35" spans="1:21" x14ac:dyDescent="0.2">
      <c r="A35" s="1">
        <v>2024</v>
      </c>
      <c r="B35" s="2">
        <v>45396</v>
      </c>
      <c r="C35" s="3">
        <v>4.6199012859621797</v>
      </c>
      <c r="D35" s="3">
        <v>32.439169299845503</v>
      </c>
      <c r="E35" s="3">
        <v>37.059070585807703</v>
      </c>
      <c r="F35" s="1">
        <v>0</v>
      </c>
      <c r="G35" s="1">
        <v>0</v>
      </c>
      <c r="H35" s="1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8">
        <v>5</v>
      </c>
      <c r="P35" s="8">
        <v>32</v>
      </c>
      <c r="Q35" s="8">
        <v>37</v>
      </c>
      <c r="R35" s="1">
        <v>30.4</v>
      </c>
      <c r="T35" s="1" t="s">
        <v>17</v>
      </c>
      <c r="U35" s="1">
        <f t="shared" si="2"/>
        <v>30.4</v>
      </c>
    </row>
    <row r="36" spans="1:21" x14ac:dyDescent="0.2">
      <c r="A36" s="1">
        <v>2024</v>
      </c>
      <c r="B36" s="2">
        <v>45397</v>
      </c>
      <c r="C36" s="3">
        <v>3.3666612501192801</v>
      </c>
      <c r="D36" s="3">
        <v>20.662542252377602</v>
      </c>
      <c r="E36" s="3">
        <v>24.029203502496902</v>
      </c>
      <c r="F36" s="1">
        <v>0</v>
      </c>
      <c r="G36" s="1">
        <v>0</v>
      </c>
      <c r="H36" s="1">
        <v>0</v>
      </c>
      <c r="I36" s="4">
        <v>0</v>
      </c>
      <c r="J36" s="4">
        <v>0</v>
      </c>
      <c r="K36" s="4">
        <v>0</v>
      </c>
      <c r="L36" s="5">
        <v>0</v>
      </c>
      <c r="M36" s="5">
        <v>0</v>
      </c>
      <c r="N36" s="5">
        <v>0</v>
      </c>
      <c r="O36" s="8">
        <v>3</v>
      </c>
      <c r="P36" s="8">
        <v>21</v>
      </c>
      <c r="Q36" s="8">
        <v>24</v>
      </c>
      <c r="R36" s="1">
        <v>26.4</v>
      </c>
      <c r="T36" s="1" t="s">
        <v>17</v>
      </c>
      <c r="U36" s="1">
        <f t="shared" si="2"/>
        <v>26.4</v>
      </c>
    </row>
    <row r="37" spans="1:21" x14ac:dyDescent="0.2">
      <c r="A37" s="1">
        <v>2024</v>
      </c>
      <c r="B37" s="2">
        <v>45398</v>
      </c>
      <c r="C37" s="3">
        <v>0</v>
      </c>
      <c r="D37" s="3">
        <v>13</v>
      </c>
      <c r="E37" s="3">
        <v>13</v>
      </c>
      <c r="F37" s="1">
        <v>0</v>
      </c>
      <c r="G37" s="1">
        <v>15</v>
      </c>
      <c r="H37" s="1">
        <v>15</v>
      </c>
      <c r="I37" s="4">
        <v>0</v>
      </c>
      <c r="J37" s="4">
        <v>0</v>
      </c>
      <c r="K37" s="4">
        <v>0</v>
      </c>
      <c r="L37" s="5">
        <v>0</v>
      </c>
      <c r="M37" s="5">
        <v>0</v>
      </c>
      <c r="N37" s="5">
        <v>0</v>
      </c>
      <c r="O37" s="8">
        <v>0</v>
      </c>
      <c r="P37" s="8">
        <v>13</v>
      </c>
      <c r="Q37" s="8">
        <v>13</v>
      </c>
      <c r="R37" s="1">
        <v>23.1</v>
      </c>
      <c r="T37" s="1" t="s">
        <v>17</v>
      </c>
      <c r="U37" s="1">
        <f t="shared" si="2"/>
        <v>23.1</v>
      </c>
    </row>
    <row r="38" spans="1:21" x14ac:dyDescent="0.2">
      <c r="A38" s="1">
        <v>2024</v>
      </c>
      <c r="B38" s="2">
        <v>45399</v>
      </c>
      <c r="C38" s="3">
        <v>3</v>
      </c>
      <c r="D38" s="3">
        <v>44</v>
      </c>
      <c r="E38" s="3">
        <v>47</v>
      </c>
      <c r="F38" s="1">
        <v>3</v>
      </c>
      <c r="G38" s="1">
        <v>48</v>
      </c>
      <c r="H38" s="1">
        <v>51</v>
      </c>
      <c r="I38" s="4">
        <v>0</v>
      </c>
      <c r="J38" s="4">
        <v>0</v>
      </c>
      <c r="K38" s="4">
        <v>0</v>
      </c>
      <c r="L38" s="5">
        <v>0</v>
      </c>
      <c r="M38" s="5">
        <v>0</v>
      </c>
      <c r="N38" s="5">
        <v>0</v>
      </c>
      <c r="O38" s="8">
        <v>3</v>
      </c>
      <c r="P38" s="8">
        <v>44</v>
      </c>
      <c r="Q38" s="8">
        <v>47</v>
      </c>
      <c r="R38" s="1">
        <v>20.5</v>
      </c>
      <c r="T38" s="1" t="s">
        <v>17</v>
      </c>
      <c r="U38" s="1">
        <f t="shared" si="2"/>
        <v>20.5</v>
      </c>
    </row>
    <row r="39" spans="1:21" x14ac:dyDescent="0.2">
      <c r="A39" s="1">
        <v>2024</v>
      </c>
      <c r="B39" s="2">
        <v>45399</v>
      </c>
      <c r="C39" s="3">
        <v>3</v>
      </c>
      <c r="D39" s="3">
        <v>44</v>
      </c>
      <c r="E39" s="3">
        <v>47</v>
      </c>
      <c r="F39" s="1">
        <v>3</v>
      </c>
      <c r="G39" s="1">
        <v>48</v>
      </c>
      <c r="H39" s="1">
        <v>51</v>
      </c>
      <c r="I39" s="4">
        <v>1</v>
      </c>
      <c r="J39" s="4">
        <v>0</v>
      </c>
      <c r="K39" s="4">
        <v>1</v>
      </c>
      <c r="L39" s="5">
        <v>0</v>
      </c>
      <c r="M39" s="5">
        <v>0</v>
      </c>
      <c r="N39" s="5">
        <v>0</v>
      </c>
      <c r="O39" s="8">
        <v>3</v>
      </c>
      <c r="P39" s="8">
        <v>44</v>
      </c>
      <c r="Q39" s="8">
        <v>47</v>
      </c>
      <c r="R39" s="1">
        <v>20.5</v>
      </c>
      <c r="S39" s="7">
        <v>1.9607843137254902E-2</v>
      </c>
      <c r="T39" s="1" t="s">
        <v>21</v>
      </c>
      <c r="U39" s="6">
        <f>AVERAGE($R$39:$R$45)</f>
        <v>16.599999999999998</v>
      </c>
    </row>
    <row r="40" spans="1:21" x14ac:dyDescent="0.2">
      <c r="A40" s="1">
        <v>2024</v>
      </c>
      <c r="B40" s="2">
        <v>45400</v>
      </c>
      <c r="C40" s="3">
        <v>2</v>
      </c>
      <c r="D40" s="3">
        <v>16</v>
      </c>
      <c r="E40" s="3">
        <v>18</v>
      </c>
      <c r="F40" s="1">
        <v>0</v>
      </c>
      <c r="G40" s="1">
        <v>0</v>
      </c>
      <c r="H40" s="1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8">
        <v>2</v>
      </c>
      <c r="P40" s="8">
        <v>16</v>
      </c>
      <c r="Q40" s="8">
        <v>18</v>
      </c>
      <c r="R40" s="1">
        <v>18.3</v>
      </c>
      <c r="T40" s="1" t="s">
        <v>17</v>
      </c>
      <c r="U40" s="6">
        <f t="shared" ref="U40:U45" si="3">AVERAGE($R$39:$R$45)</f>
        <v>16.599999999999998</v>
      </c>
    </row>
    <row r="41" spans="1:21" x14ac:dyDescent="0.2">
      <c r="A41" s="1">
        <v>2024</v>
      </c>
      <c r="B41" s="2">
        <v>45401</v>
      </c>
      <c r="C41" s="3">
        <v>1</v>
      </c>
      <c r="D41" s="3">
        <v>24</v>
      </c>
      <c r="E41" s="3">
        <v>25</v>
      </c>
      <c r="F41" s="1">
        <v>0</v>
      </c>
      <c r="G41" s="1">
        <v>0</v>
      </c>
      <c r="H41" s="1">
        <v>0</v>
      </c>
      <c r="I41" s="4">
        <v>0</v>
      </c>
      <c r="J41" s="4">
        <v>0</v>
      </c>
      <c r="K41" s="4">
        <v>0</v>
      </c>
      <c r="L41" s="5">
        <v>0</v>
      </c>
      <c r="M41" s="5">
        <v>0</v>
      </c>
      <c r="N41" s="5">
        <v>0</v>
      </c>
      <c r="O41" s="8">
        <v>1</v>
      </c>
      <c r="P41" s="8">
        <v>24</v>
      </c>
      <c r="Q41" s="8">
        <v>25</v>
      </c>
      <c r="R41" s="1">
        <v>16.5</v>
      </c>
      <c r="T41" s="1" t="s">
        <v>17</v>
      </c>
      <c r="U41" s="6">
        <f t="shared" si="3"/>
        <v>16.599999999999998</v>
      </c>
    </row>
    <row r="42" spans="1:21" x14ac:dyDescent="0.2">
      <c r="A42" s="1">
        <v>2024</v>
      </c>
      <c r="B42" s="2">
        <v>45402</v>
      </c>
      <c r="C42" s="3">
        <v>1.3374959610782899</v>
      </c>
      <c r="D42" s="3">
        <v>19.732079845340198</v>
      </c>
      <c r="E42" s="3">
        <v>21.069575806418499</v>
      </c>
      <c r="F42" s="1">
        <v>0</v>
      </c>
      <c r="G42" s="1">
        <v>0</v>
      </c>
      <c r="H42" s="1">
        <v>0</v>
      </c>
      <c r="I42" s="4">
        <v>0</v>
      </c>
      <c r="J42" s="4">
        <v>0</v>
      </c>
      <c r="K42" s="4">
        <v>0</v>
      </c>
      <c r="L42" s="5">
        <v>0</v>
      </c>
      <c r="M42" s="5">
        <v>0</v>
      </c>
      <c r="N42" s="5">
        <v>0</v>
      </c>
      <c r="O42" s="8">
        <v>1</v>
      </c>
      <c r="P42" s="8">
        <v>20</v>
      </c>
      <c r="Q42" s="8">
        <v>21</v>
      </c>
      <c r="R42" s="1">
        <v>15.1</v>
      </c>
      <c r="T42" s="1" t="s">
        <v>17</v>
      </c>
      <c r="U42" s="6">
        <f t="shared" si="3"/>
        <v>16.599999999999998</v>
      </c>
    </row>
    <row r="43" spans="1:21" x14ac:dyDescent="0.2">
      <c r="A43" s="1">
        <v>2024</v>
      </c>
      <c r="B43" s="2">
        <v>45403</v>
      </c>
      <c r="C43" s="3">
        <v>1.21248049109588</v>
      </c>
      <c r="D43" s="3">
        <v>19.392981646646799</v>
      </c>
      <c r="E43" s="3">
        <v>20.605462137742599</v>
      </c>
      <c r="F43" s="1">
        <v>0</v>
      </c>
      <c r="G43" s="1">
        <v>0</v>
      </c>
      <c r="H43" s="1">
        <v>0</v>
      </c>
      <c r="I43" s="4">
        <v>0</v>
      </c>
      <c r="J43" s="4">
        <v>0</v>
      </c>
      <c r="K43" s="4">
        <v>0</v>
      </c>
      <c r="L43" s="5">
        <v>0</v>
      </c>
      <c r="M43" s="5">
        <v>0</v>
      </c>
      <c r="N43" s="5">
        <v>0</v>
      </c>
      <c r="O43" s="8">
        <v>1</v>
      </c>
      <c r="P43" s="8">
        <v>19</v>
      </c>
      <c r="Q43" s="8">
        <v>21</v>
      </c>
      <c r="R43" s="1">
        <v>16.7</v>
      </c>
      <c r="T43" s="1" t="s">
        <v>17</v>
      </c>
      <c r="U43" s="6">
        <f t="shared" si="3"/>
        <v>16.599999999999998</v>
      </c>
    </row>
    <row r="44" spans="1:21" x14ac:dyDescent="0.2">
      <c r="A44" s="1">
        <v>2024</v>
      </c>
      <c r="B44" s="2">
        <v>45404</v>
      </c>
      <c r="C44" s="3">
        <v>1.08746502111346</v>
      </c>
      <c r="D44" s="3">
        <v>22.9151881194419</v>
      </c>
      <c r="E44" s="3">
        <v>24.002653140555299</v>
      </c>
      <c r="F44" s="1">
        <v>0</v>
      </c>
      <c r="G44" s="1">
        <v>0</v>
      </c>
      <c r="H44" s="1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8">
        <v>1</v>
      </c>
      <c r="P44" s="8">
        <v>23</v>
      </c>
      <c r="Q44" s="8">
        <v>24</v>
      </c>
      <c r="R44" s="1">
        <v>15.5</v>
      </c>
      <c r="T44" s="1" t="s">
        <v>17</v>
      </c>
      <c r="U44" s="6">
        <f t="shared" si="3"/>
        <v>16.599999999999998</v>
      </c>
    </row>
    <row r="45" spans="1:21" x14ac:dyDescent="0.2">
      <c r="A45" s="1">
        <v>2024</v>
      </c>
      <c r="B45" s="2">
        <v>45405</v>
      </c>
      <c r="C45" s="3">
        <v>1</v>
      </c>
      <c r="D45" s="3">
        <v>31</v>
      </c>
      <c r="E45" s="3">
        <v>32</v>
      </c>
      <c r="F45" s="1">
        <v>1</v>
      </c>
      <c r="G45" s="1">
        <v>34</v>
      </c>
      <c r="H45" s="1">
        <v>35</v>
      </c>
      <c r="I45" s="4">
        <v>0</v>
      </c>
      <c r="J45" s="4">
        <v>0</v>
      </c>
      <c r="K45" s="4">
        <v>0</v>
      </c>
      <c r="L45" s="5">
        <v>1</v>
      </c>
      <c r="M45" s="5">
        <v>0</v>
      </c>
      <c r="N45" s="5">
        <v>1</v>
      </c>
      <c r="O45" s="8">
        <v>2</v>
      </c>
      <c r="P45" s="8">
        <v>31</v>
      </c>
      <c r="Q45" s="8">
        <v>33</v>
      </c>
      <c r="R45" s="1">
        <v>13.6</v>
      </c>
      <c r="T45" s="1" t="s">
        <v>17</v>
      </c>
      <c r="U45" s="6">
        <f t="shared" si="3"/>
        <v>16.599999999999998</v>
      </c>
    </row>
    <row r="46" spans="1:21" x14ac:dyDescent="0.2">
      <c r="A46" s="1">
        <v>2024</v>
      </c>
      <c r="B46" s="2">
        <v>45406</v>
      </c>
      <c r="C46" s="3">
        <v>0</v>
      </c>
      <c r="D46" s="3">
        <v>0</v>
      </c>
      <c r="E46" s="3">
        <v>0</v>
      </c>
      <c r="F46" s="1">
        <v>0</v>
      </c>
      <c r="G46" s="1">
        <v>0</v>
      </c>
      <c r="H46" s="1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8">
        <v>0</v>
      </c>
      <c r="P46" s="8">
        <v>0</v>
      </c>
      <c r="Q46" s="8">
        <v>0</v>
      </c>
      <c r="R46" s="1">
        <v>12.5</v>
      </c>
      <c r="T46" s="1" t="s">
        <v>17</v>
      </c>
      <c r="U46" s="1">
        <f>R46</f>
        <v>12.5</v>
      </c>
    </row>
    <row r="47" spans="1:21" x14ac:dyDescent="0.2">
      <c r="A47" s="1">
        <v>2024</v>
      </c>
      <c r="B47" s="2">
        <v>45407</v>
      </c>
      <c r="C47" s="3">
        <v>2</v>
      </c>
      <c r="D47" s="3">
        <v>137</v>
      </c>
      <c r="E47" s="3">
        <v>139</v>
      </c>
      <c r="F47" s="1">
        <v>0</v>
      </c>
      <c r="G47" s="1">
        <v>0</v>
      </c>
      <c r="H47" s="1">
        <v>0</v>
      </c>
      <c r="I47" s="4">
        <v>0</v>
      </c>
      <c r="J47" s="4">
        <v>0</v>
      </c>
      <c r="K47" s="4">
        <v>0</v>
      </c>
      <c r="L47" s="5">
        <v>0</v>
      </c>
      <c r="M47" s="5">
        <v>0</v>
      </c>
      <c r="N47" s="5">
        <v>0</v>
      </c>
      <c r="O47" s="8">
        <v>2</v>
      </c>
      <c r="P47" s="8">
        <v>137</v>
      </c>
      <c r="Q47" s="8">
        <v>139</v>
      </c>
      <c r="R47" s="1">
        <v>14</v>
      </c>
      <c r="T47" s="1" t="s">
        <v>17</v>
      </c>
      <c r="U47" s="1">
        <f t="shared" ref="U47:U58" si="4">R47</f>
        <v>14</v>
      </c>
    </row>
    <row r="48" spans="1:21" x14ac:dyDescent="0.2">
      <c r="A48" s="1">
        <v>2024</v>
      </c>
      <c r="B48" s="2">
        <v>45408</v>
      </c>
      <c r="C48" s="3">
        <v>1</v>
      </c>
      <c r="D48" s="3">
        <v>153</v>
      </c>
      <c r="E48" s="3">
        <v>154</v>
      </c>
      <c r="F48" s="1">
        <v>0</v>
      </c>
      <c r="G48" s="1">
        <v>0</v>
      </c>
      <c r="H48" s="1">
        <v>0</v>
      </c>
      <c r="I48" s="4">
        <v>0</v>
      </c>
      <c r="J48" s="4">
        <v>0</v>
      </c>
      <c r="K48" s="4">
        <v>0</v>
      </c>
      <c r="L48" s="5">
        <v>0</v>
      </c>
      <c r="M48" s="5">
        <v>0</v>
      </c>
      <c r="N48" s="5">
        <v>0</v>
      </c>
      <c r="O48" s="8">
        <v>1</v>
      </c>
      <c r="P48" s="8">
        <v>153</v>
      </c>
      <c r="Q48" s="8">
        <v>154</v>
      </c>
      <c r="R48" s="1">
        <v>23.9</v>
      </c>
      <c r="T48" s="1" t="s">
        <v>17</v>
      </c>
      <c r="U48" s="1">
        <f t="shared" si="4"/>
        <v>23.9</v>
      </c>
    </row>
    <row r="49" spans="1:21" x14ac:dyDescent="0.2">
      <c r="A49" s="1">
        <v>2024</v>
      </c>
      <c r="B49" s="2">
        <v>45409</v>
      </c>
      <c r="C49" s="3">
        <v>0.94651577568442802</v>
      </c>
      <c r="D49" s="3">
        <v>132.74665064963301</v>
      </c>
      <c r="E49" s="3">
        <v>133.693166425317</v>
      </c>
      <c r="F49" s="1">
        <v>0</v>
      </c>
      <c r="G49" s="1">
        <v>0</v>
      </c>
      <c r="H49" s="1">
        <v>0</v>
      </c>
      <c r="I49" s="4">
        <v>0</v>
      </c>
      <c r="J49" s="4">
        <v>0</v>
      </c>
      <c r="K49" s="4">
        <v>0</v>
      </c>
      <c r="L49" s="5">
        <v>0</v>
      </c>
      <c r="M49" s="5">
        <v>0</v>
      </c>
      <c r="N49" s="5">
        <v>0</v>
      </c>
      <c r="O49" s="8">
        <v>1</v>
      </c>
      <c r="P49" s="8">
        <v>133</v>
      </c>
      <c r="Q49" s="8">
        <v>134</v>
      </c>
      <c r="R49" s="1">
        <v>30</v>
      </c>
      <c r="T49" s="1" t="s">
        <v>17</v>
      </c>
      <c r="U49" s="1">
        <f t="shared" si="4"/>
        <v>30</v>
      </c>
    </row>
    <row r="50" spans="1:21" x14ac:dyDescent="0.2">
      <c r="A50" s="1">
        <v>2024</v>
      </c>
      <c r="B50" s="2">
        <v>45410</v>
      </c>
      <c r="C50" s="3">
        <v>0.83893591339272799</v>
      </c>
      <c r="D50" s="3">
        <v>138.92426852325099</v>
      </c>
      <c r="E50" s="3">
        <v>139.763204436644</v>
      </c>
      <c r="F50" s="1">
        <v>0</v>
      </c>
      <c r="G50" s="1">
        <v>0</v>
      </c>
      <c r="H50" s="1">
        <v>0</v>
      </c>
      <c r="I50" s="4">
        <v>0</v>
      </c>
      <c r="J50" s="4">
        <v>0</v>
      </c>
      <c r="K50" s="4">
        <v>0</v>
      </c>
      <c r="L50" s="5">
        <v>0</v>
      </c>
      <c r="M50" s="5">
        <v>0</v>
      </c>
      <c r="N50" s="5">
        <v>0</v>
      </c>
      <c r="O50" s="8">
        <v>1</v>
      </c>
      <c r="P50" s="8">
        <v>139</v>
      </c>
      <c r="Q50" s="8">
        <v>140</v>
      </c>
      <c r="R50" s="1">
        <v>53.6</v>
      </c>
      <c r="T50" s="1" t="s">
        <v>17</v>
      </c>
      <c r="U50" s="1">
        <f t="shared" si="4"/>
        <v>53.6</v>
      </c>
    </row>
    <row r="51" spans="1:21" x14ac:dyDescent="0.2">
      <c r="A51" s="1">
        <v>2024</v>
      </c>
      <c r="B51" s="2">
        <v>45411</v>
      </c>
      <c r="C51" s="3">
        <v>0.73135605110102797</v>
      </c>
      <c r="D51" s="3">
        <v>172.76286895262501</v>
      </c>
      <c r="E51" s="3">
        <v>173.494225003726</v>
      </c>
      <c r="F51" s="1">
        <v>0</v>
      </c>
      <c r="G51" s="1">
        <v>0</v>
      </c>
      <c r="H51" s="1">
        <v>0</v>
      </c>
      <c r="I51" s="4">
        <v>0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8">
        <v>1</v>
      </c>
      <c r="P51" s="8">
        <v>173</v>
      </c>
      <c r="Q51" s="8">
        <v>173</v>
      </c>
      <c r="R51" s="1">
        <v>49.7</v>
      </c>
      <c r="T51" s="1" t="s">
        <v>17</v>
      </c>
      <c r="U51" s="1">
        <f t="shared" si="4"/>
        <v>49.7</v>
      </c>
    </row>
    <row r="52" spans="1:21" x14ac:dyDescent="0.2">
      <c r="A52" s="1">
        <v>2024</v>
      </c>
      <c r="B52" s="2">
        <v>45412</v>
      </c>
      <c r="C52" s="3">
        <v>0</v>
      </c>
      <c r="D52" s="3">
        <v>241</v>
      </c>
      <c r="E52" s="3">
        <v>241</v>
      </c>
      <c r="F52" s="1">
        <v>0</v>
      </c>
      <c r="G52" s="1">
        <v>242</v>
      </c>
      <c r="H52" s="1">
        <v>242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8">
        <v>1500</v>
      </c>
      <c r="P52" s="8">
        <v>241</v>
      </c>
      <c r="Q52" s="8">
        <v>1741</v>
      </c>
      <c r="R52" s="1">
        <v>35.6</v>
      </c>
      <c r="T52" s="1" t="s">
        <v>17</v>
      </c>
      <c r="U52" s="1">
        <f t="shared" si="4"/>
        <v>35.6</v>
      </c>
    </row>
    <row r="53" spans="1:21" x14ac:dyDescent="0.2">
      <c r="A53" s="1">
        <v>2024</v>
      </c>
      <c r="B53" s="2">
        <v>45413</v>
      </c>
      <c r="C53" s="3">
        <v>2</v>
      </c>
      <c r="D53" s="3">
        <v>213</v>
      </c>
      <c r="E53" s="3">
        <v>215</v>
      </c>
      <c r="F53" s="1">
        <v>2</v>
      </c>
      <c r="G53" s="1">
        <v>209</v>
      </c>
      <c r="H53" s="1">
        <v>211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8">
        <v>5</v>
      </c>
      <c r="P53" s="8">
        <v>213</v>
      </c>
      <c r="Q53" s="8">
        <v>218</v>
      </c>
      <c r="R53" s="1">
        <v>28.2</v>
      </c>
      <c r="T53" s="1" t="s">
        <v>17</v>
      </c>
      <c r="U53" s="1">
        <f t="shared" si="4"/>
        <v>28.2</v>
      </c>
    </row>
    <row r="54" spans="1:21" x14ac:dyDescent="0.2">
      <c r="A54" s="1">
        <v>2024</v>
      </c>
      <c r="B54" s="2">
        <v>45414</v>
      </c>
      <c r="C54" s="3">
        <v>0</v>
      </c>
      <c r="D54" s="3">
        <v>146</v>
      </c>
      <c r="E54" s="3">
        <v>146</v>
      </c>
      <c r="F54" s="1">
        <v>0</v>
      </c>
      <c r="G54" s="1">
        <v>154</v>
      </c>
      <c r="H54" s="1">
        <v>154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8">
        <v>3</v>
      </c>
      <c r="P54" s="8">
        <v>146</v>
      </c>
      <c r="Q54" s="8">
        <v>149</v>
      </c>
      <c r="R54" s="1">
        <v>23.9</v>
      </c>
      <c r="T54" s="1" t="s">
        <v>17</v>
      </c>
      <c r="U54" s="1">
        <f t="shared" si="4"/>
        <v>23.9</v>
      </c>
    </row>
    <row r="55" spans="1:21" x14ac:dyDescent="0.2">
      <c r="A55" s="1">
        <v>2024</v>
      </c>
      <c r="B55" s="2">
        <v>45415</v>
      </c>
      <c r="C55" s="3">
        <v>0</v>
      </c>
      <c r="D55" s="3">
        <v>59</v>
      </c>
      <c r="E55" s="3">
        <v>59</v>
      </c>
      <c r="F55" s="1">
        <v>0</v>
      </c>
      <c r="G55" s="1">
        <v>62</v>
      </c>
      <c r="H55" s="1">
        <v>62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8">
        <v>0</v>
      </c>
      <c r="P55" s="8">
        <v>59</v>
      </c>
      <c r="Q55" s="8">
        <v>59</v>
      </c>
      <c r="R55" s="1">
        <v>20.7</v>
      </c>
      <c r="T55" s="1" t="s">
        <v>17</v>
      </c>
      <c r="U55" s="1">
        <f t="shared" si="4"/>
        <v>20.7</v>
      </c>
    </row>
    <row r="56" spans="1:21" x14ac:dyDescent="0.2">
      <c r="A56" s="1">
        <v>2024</v>
      </c>
      <c r="B56" s="2">
        <v>45416</v>
      </c>
      <c r="C56" s="3">
        <v>0.70752688947965303</v>
      </c>
      <c r="D56" s="3">
        <v>81.343825622597905</v>
      </c>
      <c r="E56" s="3">
        <v>82.051352512077599</v>
      </c>
      <c r="F56" s="1">
        <v>0</v>
      </c>
      <c r="G56" s="1">
        <v>0</v>
      </c>
      <c r="H56" s="1">
        <v>0</v>
      </c>
      <c r="I56" s="4">
        <v>0</v>
      </c>
      <c r="J56" s="4">
        <v>0</v>
      </c>
      <c r="K56" s="4">
        <v>0</v>
      </c>
      <c r="L56" s="5">
        <v>0</v>
      </c>
      <c r="M56" s="5">
        <v>0</v>
      </c>
      <c r="N56" s="5">
        <v>0</v>
      </c>
      <c r="O56" s="8">
        <v>1</v>
      </c>
      <c r="P56" s="8">
        <v>81</v>
      </c>
      <c r="Q56" s="8">
        <v>82</v>
      </c>
      <c r="R56" s="1">
        <v>18.399999999999999</v>
      </c>
      <c r="T56" s="1" t="s">
        <v>17</v>
      </c>
      <c r="U56" s="1">
        <f t="shared" si="4"/>
        <v>18.399999999999999</v>
      </c>
    </row>
    <row r="57" spans="1:21" x14ac:dyDescent="0.2">
      <c r="A57" s="1">
        <v>2024</v>
      </c>
      <c r="B57" s="2">
        <v>45417</v>
      </c>
      <c r="C57" s="3">
        <v>0.95204787443565797</v>
      </c>
      <c r="D57" s="3">
        <v>119.88388654290701</v>
      </c>
      <c r="E57" s="3">
        <v>120.835934417343</v>
      </c>
      <c r="F57" s="1">
        <v>0</v>
      </c>
      <c r="G57" s="1">
        <v>0</v>
      </c>
      <c r="H57" s="1">
        <v>0</v>
      </c>
      <c r="I57" s="4">
        <v>0</v>
      </c>
      <c r="J57" s="4">
        <v>0</v>
      </c>
      <c r="K57" s="4">
        <v>0</v>
      </c>
      <c r="L57" s="5">
        <v>0</v>
      </c>
      <c r="M57" s="5">
        <v>0</v>
      </c>
      <c r="N57" s="5">
        <v>0</v>
      </c>
      <c r="O57" s="8">
        <v>1</v>
      </c>
      <c r="P57" s="8">
        <v>120</v>
      </c>
      <c r="Q57" s="8">
        <v>121</v>
      </c>
      <c r="R57" s="1">
        <v>17.2</v>
      </c>
      <c r="T57" s="1" t="s">
        <v>17</v>
      </c>
      <c r="U57" s="1">
        <f t="shared" si="4"/>
        <v>17.2</v>
      </c>
    </row>
    <row r="58" spans="1:21" x14ac:dyDescent="0.2">
      <c r="A58" s="1">
        <v>2024</v>
      </c>
      <c r="B58" s="2">
        <v>45418</v>
      </c>
      <c r="C58" s="3">
        <v>1.1965688593916599</v>
      </c>
      <c r="D58" s="3">
        <v>182.293830886964</v>
      </c>
      <c r="E58" s="3">
        <v>183.49039974635599</v>
      </c>
      <c r="F58" s="1">
        <v>0</v>
      </c>
      <c r="G58" s="1">
        <v>0</v>
      </c>
      <c r="H58" s="1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8">
        <v>1</v>
      </c>
      <c r="P58" s="8">
        <v>182</v>
      </c>
      <c r="Q58" s="8">
        <v>183</v>
      </c>
      <c r="R58" s="1">
        <v>25.8</v>
      </c>
      <c r="T58" s="1" t="s">
        <v>17</v>
      </c>
      <c r="U58" s="1">
        <f t="shared" si="4"/>
        <v>25.8</v>
      </c>
    </row>
    <row r="59" spans="1:21" x14ac:dyDescent="0.2">
      <c r="A59" s="1">
        <v>2024</v>
      </c>
      <c r="B59" s="2">
        <v>45419</v>
      </c>
      <c r="C59" s="3">
        <v>3</v>
      </c>
      <c r="D59" s="3">
        <v>281</v>
      </c>
      <c r="E59" s="3">
        <v>284</v>
      </c>
      <c r="F59" s="1">
        <v>1</v>
      </c>
      <c r="G59" s="1">
        <v>199</v>
      </c>
      <c r="H59" s="1">
        <v>200</v>
      </c>
      <c r="I59" s="4">
        <v>0</v>
      </c>
      <c r="J59" s="4">
        <v>2</v>
      </c>
      <c r="K59" s="4">
        <v>2</v>
      </c>
      <c r="L59" s="5">
        <v>0</v>
      </c>
      <c r="M59" s="5">
        <v>0</v>
      </c>
      <c r="N59" s="5">
        <v>0</v>
      </c>
      <c r="O59" s="8">
        <v>3</v>
      </c>
      <c r="P59" s="8">
        <v>281</v>
      </c>
      <c r="Q59" s="8">
        <v>284</v>
      </c>
      <c r="R59" s="1">
        <v>23.4</v>
      </c>
      <c r="S59" s="7">
        <v>0.01</v>
      </c>
      <c r="T59" s="1" t="s">
        <v>21</v>
      </c>
      <c r="U59" s="6">
        <f>AVERAGE(R59:R60)</f>
        <v>21</v>
      </c>
    </row>
    <row r="60" spans="1:21" x14ac:dyDescent="0.2">
      <c r="A60" s="1">
        <v>2024</v>
      </c>
      <c r="B60" s="2">
        <v>45420</v>
      </c>
      <c r="C60" s="3">
        <v>0</v>
      </c>
      <c r="D60" s="3">
        <v>49</v>
      </c>
      <c r="E60" s="3">
        <v>49</v>
      </c>
      <c r="F60" s="1">
        <v>0</v>
      </c>
      <c r="G60" s="1">
        <v>49</v>
      </c>
      <c r="H60" s="1">
        <v>49</v>
      </c>
      <c r="I60" s="4">
        <v>0</v>
      </c>
      <c r="J60" s="4">
        <v>0</v>
      </c>
      <c r="K60" s="4">
        <v>0</v>
      </c>
      <c r="L60" s="5">
        <v>0</v>
      </c>
      <c r="M60" s="5">
        <v>2</v>
      </c>
      <c r="N60" s="5">
        <v>2</v>
      </c>
      <c r="O60" s="8">
        <v>0</v>
      </c>
      <c r="P60" s="8">
        <v>51</v>
      </c>
      <c r="Q60" s="8">
        <v>51</v>
      </c>
      <c r="R60" s="1">
        <v>18.600000000000001</v>
      </c>
      <c r="T60" s="1" t="s">
        <v>17</v>
      </c>
      <c r="U60" s="6">
        <f>AVERAGE(R59:R60)</f>
        <v>21</v>
      </c>
    </row>
    <row r="61" spans="1:21" x14ac:dyDescent="0.2">
      <c r="A61" s="1">
        <v>2024</v>
      </c>
      <c r="B61" s="2">
        <v>45421</v>
      </c>
      <c r="C61" s="3">
        <v>0</v>
      </c>
      <c r="D61" s="3">
        <v>30</v>
      </c>
      <c r="E61" s="3">
        <v>30</v>
      </c>
      <c r="F61" s="1">
        <v>0</v>
      </c>
      <c r="G61" s="1">
        <v>31</v>
      </c>
      <c r="H61" s="1">
        <v>31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8">
        <v>0</v>
      </c>
      <c r="P61" s="8">
        <v>30</v>
      </c>
      <c r="Q61" s="8">
        <v>30</v>
      </c>
      <c r="R61" s="1">
        <v>16</v>
      </c>
      <c r="T61" s="1" t="s">
        <v>17</v>
      </c>
      <c r="U61" s="1">
        <f>R61</f>
        <v>16</v>
      </c>
    </row>
    <row r="62" spans="1:21" x14ac:dyDescent="0.2">
      <c r="A62" s="1">
        <v>2024</v>
      </c>
      <c r="B62" s="2">
        <v>45422</v>
      </c>
      <c r="C62" s="3">
        <v>0</v>
      </c>
      <c r="D62" s="3">
        <v>10</v>
      </c>
      <c r="E62" s="3">
        <v>10</v>
      </c>
      <c r="F62" s="1">
        <v>0</v>
      </c>
      <c r="G62" s="1">
        <v>0</v>
      </c>
      <c r="H62" s="1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8">
        <v>0</v>
      </c>
      <c r="P62" s="8">
        <v>10</v>
      </c>
      <c r="Q62" s="8">
        <v>10</v>
      </c>
      <c r="R62" s="1">
        <v>14.2</v>
      </c>
      <c r="T62" s="1" t="s">
        <v>17</v>
      </c>
      <c r="U62" s="1">
        <f t="shared" ref="U62:U78" si="5">R62</f>
        <v>14.2</v>
      </c>
    </row>
    <row r="63" spans="1:21" x14ac:dyDescent="0.2">
      <c r="A63" s="1">
        <v>2024</v>
      </c>
      <c r="B63" s="2">
        <v>45423</v>
      </c>
      <c r="C63" s="3">
        <v>0.155405057033452</v>
      </c>
      <c r="D63" s="3">
        <v>11.9228252632396</v>
      </c>
      <c r="E63" s="3">
        <v>12.0782303202731</v>
      </c>
      <c r="F63" s="1">
        <v>0</v>
      </c>
      <c r="G63" s="1">
        <v>0</v>
      </c>
      <c r="H63" s="1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8">
        <v>0</v>
      </c>
      <c r="P63" s="8">
        <v>12</v>
      </c>
      <c r="Q63" s="8">
        <v>12</v>
      </c>
      <c r="R63" s="1">
        <v>12.8</v>
      </c>
      <c r="T63" s="1" t="s">
        <v>17</v>
      </c>
      <c r="U63" s="1">
        <f t="shared" si="5"/>
        <v>12.8</v>
      </c>
    </row>
    <row r="64" spans="1:21" x14ac:dyDescent="0.2">
      <c r="A64" s="1">
        <v>2024</v>
      </c>
      <c r="B64" s="2">
        <v>45424</v>
      </c>
      <c r="C64" s="3">
        <v>0.13360975670931599</v>
      </c>
      <c r="D64" s="3">
        <v>16.219584649922702</v>
      </c>
      <c r="E64" s="3">
        <v>16.353194406632099</v>
      </c>
      <c r="F64" s="1">
        <v>0</v>
      </c>
      <c r="G64" s="1">
        <v>0</v>
      </c>
      <c r="H64" s="1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8">
        <v>0</v>
      </c>
      <c r="P64" s="8">
        <v>16</v>
      </c>
      <c r="Q64" s="8">
        <v>16</v>
      </c>
      <c r="R64" s="1">
        <v>11.5</v>
      </c>
      <c r="T64" s="1" t="s">
        <v>17</v>
      </c>
      <c r="U64" s="1">
        <f t="shared" si="5"/>
        <v>11.5</v>
      </c>
    </row>
    <row r="65" spans="1:21" x14ac:dyDescent="0.2">
      <c r="A65" s="1">
        <v>2024</v>
      </c>
      <c r="B65" s="2">
        <v>45425</v>
      </c>
      <c r="C65" s="3">
        <v>0.11181445638518001</v>
      </c>
      <c r="D65" s="3">
        <v>23.74579885276</v>
      </c>
      <c r="E65" s="3">
        <v>23.857613309145101</v>
      </c>
      <c r="F65" s="1">
        <v>0</v>
      </c>
      <c r="G65" s="1">
        <v>0</v>
      </c>
      <c r="H65" s="1">
        <v>0</v>
      </c>
      <c r="I65" s="4">
        <v>0</v>
      </c>
      <c r="J65" s="4">
        <v>0</v>
      </c>
      <c r="K65" s="4">
        <v>0</v>
      </c>
      <c r="L65" s="5">
        <v>0</v>
      </c>
      <c r="M65" s="5">
        <v>0</v>
      </c>
      <c r="N65" s="5">
        <v>0</v>
      </c>
      <c r="O65" s="8">
        <v>0</v>
      </c>
      <c r="P65" s="8">
        <v>24</v>
      </c>
      <c r="Q65" s="8">
        <v>24</v>
      </c>
      <c r="R65" s="1">
        <v>10.5</v>
      </c>
      <c r="T65" s="1" t="s">
        <v>17</v>
      </c>
      <c r="U65" s="1">
        <f t="shared" si="5"/>
        <v>10.5</v>
      </c>
    </row>
    <row r="66" spans="1:21" x14ac:dyDescent="0.2">
      <c r="A66" s="1">
        <v>2024</v>
      </c>
      <c r="B66" s="2">
        <v>45426</v>
      </c>
      <c r="C66" s="3">
        <v>0</v>
      </c>
      <c r="D66" s="3">
        <v>36</v>
      </c>
      <c r="E66" s="3">
        <v>36</v>
      </c>
      <c r="F66" s="1">
        <v>0</v>
      </c>
      <c r="G66" s="1">
        <v>34</v>
      </c>
      <c r="H66" s="1">
        <v>34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8">
        <v>0</v>
      </c>
      <c r="P66" s="8">
        <v>36</v>
      </c>
      <c r="Q66" s="8">
        <v>36</v>
      </c>
      <c r="R66" s="1">
        <v>9.6300000000000008</v>
      </c>
      <c r="T66" s="1" t="s">
        <v>17</v>
      </c>
      <c r="U66" s="1">
        <f t="shared" si="5"/>
        <v>9.6300000000000008</v>
      </c>
    </row>
    <row r="67" spans="1:21" x14ac:dyDescent="0.2">
      <c r="A67" s="1">
        <v>2024</v>
      </c>
      <c r="B67" s="2">
        <v>45427</v>
      </c>
      <c r="C67" s="3">
        <v>0</v>
      </c>
      <c r="D67" s="3">
        <v>4</v>
      </c>
      <c r="E67" s="3">
        <v>4</v>
      </c>
      <c r="F67" s="1">
        <v>0</v>
      </c>
      <c r="G67" s="1">
        <v>0</v>
      </c>
      <c r="H67" s="1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8">
        <v>0</v>
      </c>
      <c r="P67" s="8">
        <v>4</v>
      </c>
      <c r="Q67" s="8">
        <v>4</v>
      </c>
      <c r="R67" s="1">
        <v>8.86</v>
      </c>
      <c r="T67" s="1" t="s">
        <v>17</v>
      </c>
      <c r="U67" s="1">
        <f t="shared" si="5"/>
        <v>8.86</v>
      </c>
    </row>
    <row r="68" spans="1:21" x14ac:dyDescent="0.2">
      <c r="A68" s="1">
        <v>2024</v>
      </c>
      <c r="B68" s="2">
        <v>45428</v>
      </c>
      <c r="C68" s="3">
        <v>0</v>
      </c>
      <c r="D68" s="3">
        <v>8</v>
      </c>
      <c r="E68" s="3">
        <v>8</v>
      </c>
      <c r="F68" s="1">
        <v>0</v>
      </c>
      <c r="G68" s="1">
        <v>0</v>
      </c>
      <c r="H68" s="1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8">
        <v>0</v>
      </c>
      <c r="P68" s="8">
        <v>8</v>
      </c>
      <c r="Q68" s="8">
        <v>8</v>
      </c>
      <c r="R68" s="1">
        <v>8.32</v>
      </c>
      <c r="T68" s="1" t="s">
        <v>17</v>
      </c>
      <c r="U68" s="1">
        <f t="shared" si="5"/>
        <v>8.32</v>
      </c>
    </row>
    <row r="69" spans="1:21" x14ac:dyDescent="0.2">
      <c r="A69" s="1">
        <v>2024</v>
      </c>
      <c r="B69" s="2">
        <v>45429</v>
      </c>
      <c r="C69" s="3">
        <v>1</v>
      </c>
      <c r="D69" s="3">
        <v>0</v>
      </c>
      <c r="E69" s="3">
        <v>1</v>
      </c>
      <c r="F69" s="1">
        <v>1</v>
      </c>
      <c r="G69" s="1">
        <v>5</v>
      </c>
      <c r="H69" s="1">
        <v>6</v>
      </c>
      <c r="I69" s="4">
        <v>0</v>
      </c>
      <c r="J69" s="4">
        <v>0</v>
      </c>
      <c r="K69" s="4">
        <v>0</v>
      </c>
      <c r="L69" s="5">
        <v>0</v>
      </c>
      <c r="M69" s="5">
        <v>0</v>
      </c>
      <c r="N69" s="5">
        <v>0</v>
      </c>
      <c r="O69" s="8">
        <v>1</v>
      </c>
      <c r="P69" s="8">
        <v>0</v>
      </c>
      <c r="Q69" s="8">
        <v>1</v>
      </c>
      <c r="R69" s="1">
        <v>7.96</v>
      </c>
      <c r="T69" s="1" t="s">
        <v>17</v>
      </c>
      <c r="U69" s="1">
        <f t="shared" si="5"/>
        <v>7.96</v>
      </c>
    </row>
    <row r="70" spans="1:21" x14ac:dyDescent="0.2">
      <c r="A70" s="1">
        <v>2024</v>
      </c>
      <c r="B70" s="2">
        <v>45430</v>
      </c>
      <c r="C70" s="3">
        <v>0.51027119402702703</v>
      </c>
      <c r="D70" s="3">
        <v>0.101220583975464</v>
      </c>
      <c r="E70" s="3">
        <v>0.61149177800249099</v>
      </c>
      <c r="F70" s="1">
        <v>0</v>
      </c>
      <c r="G70" s="1">
        <v>0</v>
      </c>
      <c r="H70" s="1">
        <v>0</v>
      </c>
      <c r="I70" s="4">
        <v>0</v>
      </c>
      <c r="J70" s="4">
        <v>0</v>
      </c>
      <c r="K70" s="4">
        <v>0</v>
      </c>
      <c r="L70" s="5">
        <v>0</v>
      </c>
      <c r="M70" s="5">
        <v>0</v>
      </c>
      <c r="N70" s="5">
        <v>0</v>
      </c>
      <c r="O70" s="8">
        <v>1</v>
      </c>
      <c r="P70" s="8">
        <v>0</v>
      </c>
      <c r="Q70" s="8">
        <v>1</v>
      </c>
      <c r="R70" s="1">
        <v>7.33</v>
      </c>
      <c r="T70" s="1" t="s">
        <v>17</v>
      </c>
      <c r="U70" s="1">
        <f t="shared" si="5"/>
        <v>7.33</v>
      </c>
    </row>
    <row r="71" spans="1:21" x14ac:dyDescent="0.2">
      <c r="A71" s="1">
        <v>2024</v>
      </c>
      <c r="B71" s="2">
        <v>45431</v>
      </c>
      <c r="C71" s="3">
        <v>0.48766364732733503</v>
      </c>
      <c r="D71" s="3">
        <v>0.222595031904223</v>
      </c>
      <c r="E71" s="3">
        <v>0.71025867923155805</v>
      </c>
      <c r="F71" s="1">
        <v>0</v>
      </c>
      <c r="G71" s="1">
        <v>0</v>
      </c>
      <c r="H71" s="1">
        <v>0</v>
      </c>
      <c r="I71" s="4">
        <v>0</v>
      </c>
      <c r="J71" s="4">
        <v>0</v>
      </c>
      <c r="K71" s="4">
        <v>0</v>
      </c>
      <c r="L71" s="5">
        <v>0</v>
      </c>
      <c r="M71" s="5">
        <v>0</v>
      </c>
      <c r="N71" s="5">
        <v>0</v>
      </c>
      <c r="O71" s="8">
        <v>0</v>
      </c>
      <c r="P71" s="8">
        <v>0</v>
      </c>
      <c r="Q71" s="8">
        <v>1</v>
      </c>
      <c r="R71" s="1">
        <v>6.82</v>
      </c>
      <c r="T71" s="1" t="s">
        <v>17</v>
      </c>
      <c r="U71" s="1">
        <f t="shared" si="5"/>
        <v>6.82</v>
      </c>
    </row>
    <row r="72" spans="1:21" x14ac:dyDescent="0.2">
      <c r="A72" s="1">
        <v>2024</v>
      </c>
      <c r="B72" s="2">
        <v>45432</v>
      </c>
      <c r="C72" s="3">
        <v>0.46505610062764302</v>
      </c>
      <c r="D72" s="3">
        <v>0.38829001043537797</v>
      </c>
      <c r="E72" s="3">
        <v>0.85334611106302105</v>
      </c>
      <c r="F72" s="1">
        <v>0</v>
      </c>
      <c r="G72" s="1">
        <v>0</v>
      </c>
      <c r="H72" s="1">
        <v>0</v>
      </c>
      <c r="I72" s="4">
        <v>0</v>
      </c>
      <c r="J72" s="4">
        <v>0</v>
      </c>
      <c r="K72" s="4">
        <v>0</v>
      </c>
      <c r="L72" s="5">
        <v>0</v>
      </c>
      <c r="M72" s="5">
        <v>0</v>
      </c>
      <c r="N72" s="5">
        <v>0</v>
      </c>
      <c r="O72" s="8">
        <v>0</v>
      </c>
      <c r="P72" s="8">
        <v>0</v>
      </c>
      <c r="Q72" s="8">
        <v>1</v>
      </c>
      <c r="R72" s="1">
        <v>6.32</v>
      </c>
      <c r="T72" s="1" t="s">
        <v>17</v>
      </c>
      <c r="U72" s="1">
        <f t="shared" si="5"/>
        <v>6.32</v>
      </c>
    </row>
    <row r="73" spans="1:21" x14ac:dyDescent="0.2">
      <c r="A73" s="1">
        <v>2024</v>
      </c>
      <c r="B73" s="2">
        <v>45433</v>
      </c>
      <c r="C73" s="3">
        <v>0.44244855392795102</v>
      </c>
      <c r="D73" s="3">
        <v>0.63129677415278496</v>
      </c>
      <c r="E73" s="3">
        <v>1.0737453280807401</v>
      </c>
      <c r="F73" s="1">
        <v>0</v>
      </c>
      <c r="G73" s="1">
        <v>0</v>
      </c>
      <c r="H73" s="1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8">
        <v>0</v>
      </c>
      <c r="P73" s="8">
        <v>1</v>
      </c>
      <c r="Q73" s="8">
        <v>1</v>
      </c>
      <c r="R73" s="1">
        <v>6.95</v>
      </c>
      <c r="T73" s="1" t="s">
        <v>17</v>
      </c>
      <c r="U73" s="1">
        <f t="shared" si="5"/>
        <v>6.95</v>
      </c>
    </row>
    <row r="74" spans="1:21" x14ac:dyDescent="0.2">
      <c r="A74" s="1">
        <v>2024</v>
      </c>
      <c r="B74" s="2">
        <v>45434</v>
      </c>
      <c r="C74" s="3">
        <v>0</v>
      </c>
      <c r="D74" s="3">
        <v>1</v>
      </c>
      <c r="E74" s="3">
        <v>1</v>
      </c>
      <c r="F74" s="1">
        <v>0</v>
      </c>
      <c r="G74" s="1">
        <v>0</v>
      </c>
      <c r="H74" s="1">
        <v>0</v>
      </c>
      <c r="I74" s="4">
        <v>0</v>
      </c>
      <c r="J74" s="4">
        <v>0</v>
      </c>
      <c r="K74" s="4">
        <v>0</v>
      </c>
      <c r="L74" s="5">
        <v>0</v>
      </c>
      <c r="M74" s="5">
        <v>0</v>
      </c>
      <c r="N74" s="5">
        <v>0</v>
      </c>
      <c r="O74" s="8">
        <v>0</v>
      </c>
      <c r="P74" s="8">
        <v>1</v>
      </c>
      <c r="Q74" s="8">
        <v>1</v>
      </c>
      <c r="R74" s="1">
        <v>8.2100000000000009</v>
      </c>
      <c r="T74" s="1" t="s">
        <v>17</v>
      </c>
      <c r="U74" s="1">
        <f t="shared" si="5"/>
        <v>8.2100000000000009</v>
      </c>
    </row>
    <row r="75" spans="1:21" x14ac:dyDescent="0.2">
      <c r="A75" s="1">
        <v>2024</v>
      </c>
      <c r="B75" s="2">
        <v>45435</v>
      </c>
      <c r="C75" s="3">
        <v>0</v>
      </c>
      <c r="D75" s="3">
        <v>0</v>
      </c>
      <c r="E75" s="3">
        <v>0</v>
      </c>
      <c r="F75" s="1">
        <v>0</v>
      </c>
      <c r="G75" s="1">
        <v>0</v>
      </c>
      <c r="H75" s="1">
        <v>0</v>
      </c>
      <c r="I75" s="4">
        <v>0</v>
      </c>
      <c r="J75" s="4">
        <v>0</v>
      </c>
      <c r="K75" s="4">
        <v>0</v>
      </c>
      <c r="L75" s="5">
        <v>0</v>
      </c>
      <c r="M75" s="5">
        <v>0</v>
      </c>
      <c r="N75" s="5">
        <v>0</v>
      </c>
      <c r="O75" s="8">
        <v>0</v>
      </c>
      <c r="P75" s="8">
        <v>0</v>
      </c>
      <c r="Q75" s="8">
        <v>0</v>
      </c>
      <c r="R75" s="1">
        <v>6.95</v>
      </c>
      <c r="T75" s="1" t="s">
        <v>17</v>
      </c>
      <c r="U75" s="1">
        <f t="shared" si="5"/>
        <v>6.95</v>
      </c>
    </row>
    <row r="76" spans="1:21" x14ac:dyDescent="0.2">
      <c r="A76" s="1">
        <v>2024</v>
      </c>
      <c r="B76" s="2">
        <v>45436</v>
      </c>
      <c r="C76" s="3">
        <v>0</v>
      </c>
      <c r="D76" s="3">
        <v>0</v>
      </c>
      <c r="E76" s="3">
        <v>0</v>
      </c>
      <c r="F76" s="1">
        <v>0</v>
      </c>
      <c r="G76" s="1">
        <v>0</v>
      </c>
      <c r="H76" s="1">
        <v>0</v>
      </c>
      <c r="I76" s="4">
        <v>0</v>
      </c>
      <c r="J76" s="4">
        <v>0</v>
      </c>
      <c r="K76" s="4">
        <v>0</v>
      </c>
      <c r="L76" s="5">
        <v>0</v>
      </c>
      <c r="M76" s="5">
        <v>0</v>
      </c>
      <c r="N76" s="5">
        <v>0</v>
      </c>
      <c r="O76" s="8">
        <v>0</v>
      </c>
      <c r="P76" s="8">
        <v>0</v>
      </c>
      <c r="Q76" s="8">
        <v>0</v>
      </c>
      <c r="R76" s="1">
        <v>6.3</v>
      </c>
      <c r="T76" s="1" t="s">
        <v>17</v>
      </c>
      <c r="U76" s="1">
        <f t="shared" si="5"/>
        <v>6.3</v>
      </c>
    </row>
    <row r="77" spans="1:21" x14ac:dyDescent="0.2">
      <c r="A77" s="1">
        <v>2024</v>
      </c>
      <c r="B77" s="2">
        <v>45437</v>
      </c>
      <c r="C77" s="3">
        <v>2.9643720877925599</v>
      </c>
      <c r="D77" s="3">
        <v>16.514768610158601</v>
      </c>
      <c r="E77" s="3">
        <v>19.479140697951198</v>
      </c>
      <c r="F77" s="1">
        <v>0</v>
      </c>
      <c r="G77" s="1">
        <v>0</v>
      </c>
      <c r="H77" s="1">
        <v>0</v>
      </c>
      <c r="I77" s="4">
        <v>0</v>
      </c>
      <c r="J77" s="4">
        <v>0</v>
      </c>
      <c r="K77" s="4">
        <v>0</v>
      </c>
      <c r="L77" s="5">
        <v>0</v>
      </c>
      <c r="M77" s="5">
        <v>0</v>
      </c>
      <c r="N77" s="5">
        <v>0</v>
      </c>
      <c r="O77" s="8">
        <v>3</v>
      </c>
      <c r="P77" s="8">
        <v>17</v>
      </c>
      <c r="Q77" s="8">
        <v>19</v>
      </c>
      <c r="R77" s="1">
        <v>6.21</v>
      </c>
      <c r="T77" s="1" t="s">
        <v>17</v>
      </c>
      <c r="U77" s="1">
        <f t="shared" si="5"/>
        <v>6.21</v>
      </c>
    </row>
    <row r="78" spans="1:21" x14ac:dyDescent="0.2">
      <c r="A78" s="1">
        <v>2024</v>
      </c>
      <c r="B78" s="2">
        <v>45438</v>
      </c>
      <c r="C78" s="3">
        <v>4.5598243119736503</v>
      </c>
      <c r="D78" s="3">
        <v>36.317765629174801</v>
      </c>
      <c r="E78" s="3">
        <v>40.8775899411485</v>
      </c>
      <c r="F78" s="1">
        <v>0</v>
      </c>
      <c r="G78" s="1">
        <v>0</v>
      </c>
      <c r="H78" s="1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8">
        <v>5</v>
      </c>
      <c r="P78" s="8">
        <v>36</v>
      </c>
      <c r="Q78" s="8">
        <v>41</v>
      </c>
      <c r="R78" s="1">
        <v>10.7</v>
      </c>
      <c r="T78" s="1" t="s">
        <v>17</v>
      </c>
      <c r="U78" s="1">
        <f t="shared" si="5"/>
        <v>10.7</v>
      </c>
    </row>
    <row r="79" spans="1:21" x14ac:dyDescent="0.2">
      <c r="A79" s="1">
        <v>2024</v>
      </c>
      <c r="B79" s="2">
        <v>45439</v>
      </c>
      <c r="C79" s="3">
        <v>6.1552765361547399</v>
      </c>
      <c r="D79" s="3">
        <v>63.351933214796901</v>
      </c>
      <c r="E79" s="3">
        <v>69.507209750951603</v>
      </c>
      <c r="F79" s="1">
        <v>0</v>
      </c>
      <c r="G79" s="1">
        <v>0</v>
      </c>
      <c r="H79" s="1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8">
        <v>6</v>
      </c>
      <c r="P79" s="8">
        <v>63</v>
      </c>
      <c r="Q79" s="8">
        <v>70</v>
      </c>
      <c r="R79" s="1">
        <v>19.600000000000001</v>
      </c>
      <c r="T79" s="1" t="s">
        <v>17</v>
      </c>
      <c r="U79" s="1">
        <f>R79</f>
        <v>19.600000000000001</v>
      </c>
    </row>
    <row r="80" spans="1:21" x14ac:dyDescent="0.2">
      <c r="A80" s="1">
        <v>2024</v>
      </c>
      <c r="B80" s="2">
        <v>45440</v>
      </c>
      <c r="C80" s="3">
        <v>13</v>
      </c>
      <c r="D80" s="3">
        <v>103</v>
      </c>
      <c r="E80" s="3">
        <v>116</v>
      </c>
      <c r="F80" s="1">
        <v>7</v>
      </c>
      <c r="G80" s="1">
        <v>88</v>
      </c>
      <c r="H80" s="1">
        <v>95</v>
      </c>
      <c r="I80" s="4">
        <v>0</v>
      </c>
      <c r="J80" s="4">
        <v>10</v>
      </c>
      <c r="K80" s="4">
        <v>10</v>
      </c>
      <c r="L80" s="5">
        <v>0</v>
      </c>
      <c r="M80" s="5">
        <v>0</v>
      </c>
      <c r="N80" s="5">
        <v>0</v>
      </c>
      <c r="O80" s="8">
        <v>18</v>
      </c>
      <c r="P80" s="8">
        <v>103</v>
      </c>
      <c r="Q80" s="8">
        <v>121</v>
      </c>
      <c r="R80" s="1">
        <v>17.3</v>
      </c>
      <c r="S80" s="7">
        <v>0.105263157894737</v>
      </c>
      <c r="T80" s="1" t="s">
        <v>21</v>
      </c>
      <c r="U80" s="6">
        <f>AVERAGE(R80:R81)</f>
        <v>16.8</v>
      </c>
    </row>
    <row r="81" spans="1:21" x14ac:dyDescent="0.2">
      <c r="A81" s="1">
        <v>2024</v>
      </c>
      <c r="B81" s="2">
        <v>45441</v>
      </c>
      <c r="C81" s="3">
        <v>6</v>
      </c>
      <c r="D81" s="3">
        <v>15</v>
      </c>
      <c r="E81" s="3">
        <v>21</v>
      </c>
      <c r="F81" s="1">
        <v>6</v>
      </c>
      <c r="G81" s="1">
        <v>13</v>
      </c>
      <c r="H81" s="1">
        <v>19</v>
      </c>
      <c r="I81" s="4">
        <v>0</v>
      </c>
      <c r="J81" s="4">
        <v>0</v>
      </c>
      <c r="K81" s="4">
        <v>0</v>
      </c>
      <c r="L81" s="5">
        <v>0</v>
      </c>
      <c r="M81" s="5">
        <v>10</v>
      </c>
      <c r="N81" s="5">
        <v>10</v>
      </c>
      <c r="O81" s="8">
        <v>8</v>
      </c>
      <c r="P81" s="8">
        <v>25</v>
      </c>
      <c r="Q81" s="8">
        <v>33</v>
      </c>
      <c r="R81" s="1">
        <v>16.3</v>
      </c>
      <c r="T81" s="1" t="s">
        <v>17</v>
      </c>
      <c r="U81" s="6">
        <f>AVERAGE(R80:R81)</f>
        <v>16.8</v>
      </c>
    </row>
    <row r="82" spans="1:21" x14ac:dyDescent="0.2">
      <c r="A82" s="1">
        <v>2024</v>
      </c>
      <c r="B82" s="2">
        <v>45442</v>
      </c>
      <c r="C82" s="3">
        <v>1</v>
      </c>
      <c r="D82" s="3">
        <v>2</v>
      </c>
      <c r="E82" s="3">
        <v>3</v>
      </c>
      <c r="F82" s="1">
        <v>0</v>
      </c>
      <c r="G82" s="1">
        <v>0</v>
      </c>
      <c r="H82" s="1">
        <v>0</v>
      </c>
      <c r="I82" s="4">
        <v>0</v>
      </c>
      <c r="J82" s="4">
        <v>0</v>
      </c>
      <c r="K82" s="4">
        <v>0</v>
      </c>
      <c r="L82" s="5">
        <v>0</v>
      </c>
      <c r="M82" s="5">
        <v>0</v>
      </c>
      <c r="N82" s="5">
        <v>0</v>
      </c>
      <c r="O82" s="8">
        <v>1</v>
      </c>
      <c r="P82" s="8">
        <v>2</v>
      </c>
      <c r="Q82" s="8">
        <v>3</v>
      </c>
      <c r="R82" s="1">
        <v>14.3</v>
      </c>
      <c r="T82" s="1" t="s">
        <v>17</v>
      </c>
      <c r="U82" s="1">
        <f>R82</f>
        <v>14.3</v>
      </c>
    </row>
    <row r="83" spans="1:21" x14ac:dyDescent="0.2">
      <c r="A83" s="1">
        <v>2025</v>
      </c>
      <c r="B83" s="2">
        <v>45715</v>
      </c>
      <c r="C83" s="3">
        <v>8</v>
      </c>
      <c r="D83" s="3">
        <v>1</v>
      </c>
      <c r="E83" s="3">
        <v>9</v>
      </c>
      <c r="F83" s="1">
        <v>6</v>
      </c>
      <c r="G83" s="1">
        <v>1</v>
      </c>
      <c r="H83" s="1">
        <v>7</v>
      </c>
      <c r="I83" s="4">
        <v>0</v>
      </c>
      <c r="J83" s="4">
        <v>0</v>
      </c>
      <c r="K83" s="4">
        <v>0</v>
      </c>
      <c r="L83" s="5">
        <v>0</v>
      </c>
      <c r="M83" s="5">
        <v>0</v>
      </c>
      <c r="N83" s="5">
        <v>0</v>
      </c>
      <c r="O83" s="8">
        <v>8</v>
      </c>
      <c r="P83" s="8">
        <v>1</v>
      </c>
      <c r="Q83" s="8">
        <v>9</v>
      </c>
      <c r="R83" s="1">
        <v>74</v>
      </c>
      <c r="T83" s="1" t="s">
        <v>17</v>
      </c>
      <c r="U83" s="1">
        <f t="shared" ref="U83:U146" si="6">R83</f>
        <v>74</v>
      </c>
    </row>
    <row r="84" spans="1:21" x14ac:dyDescent="0.2">
      <c r="A84" s="1">
        <v>2025</v>
      </c>
      <c r="B84" s="2">
        <v>45716</v>
      </c>
      <c r="C84" s="3">
        <v>7</v>
      </c>
      <c r="D84" s="3">
        <v>0</v>
      </c>
      <c r="E84" s="3">
        <v>7</v>
      </c>
      <c r="F84" s="1">
        <v>5</v>
      </c>
      <c r="G84" s="1">
        <v>0</v>
      </c>
      <c r="H84" s="1">
        <v>5</v>
      </c>
      <c r="I84" s="4">
        <v>0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8">
        <v>7</v>
      </c>
      <c r="P84" s="8">
        <v>0</v>
      </c>
      <c r="Q84" s="8">
        <v>7</v>
      </c>
      <c r="R84" s="1">
        <v>60.6</v>
      </c>
      <c r="T84" s="1" t="s">
        <v>17</v>
      </c>
      <c r="U84" s="1">
        <f t="shared" si="6"/>
        <v>60.6</v>
      </c>
    </row>
    <row r="85" spans="1:21" x14ac:dyDescent="0.2">
      <c r="A85" s="1">
        <v>2025</v>
      </c>
      <c r="B85" s="2">
        <v>45717</v>
      </c>
      <c r="C85" s="3">
        <v>9.5</v>
      </c>
      <c r="D85" s="3">
        <v>0.5</v>
      </c>
      <c r="E85" s="3">
        <v>10</v>
      </c>
      <c r="F85" s="1">
        <v>0</v>
      </c>
      <c r="G85" s="1">
        <v>0</v>
      </c>
      <c r="H85" s="1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8">
        <v>10</v>
      </c>
      <c r="P85" s="8">
        <v>0</v>
      </c>
      <c r="Q85" s="8">
        <v>10</v>
      </c>
      <c r="R85" s="1">
        <v>50.7</v>
      </c>
      <c r="T85" s="1" t="s">
        <v>17</v>
      </c>
      <c r="U85" s="1">
        <f t="shared" si="6"/>
        <v>50.7</v>
      </c>
    </row>
    <row r="86" spans="1:21" x14ac:dyDescent="0.2">
      <c r="A86" s="1">
        <v>2025</v>
      </c>
      <c r="B86" s="2">
        <v>45718</v>
      </c>
      <c r="C86" s="3">
        <v>12</v>
      </c>
      <c r="D86" s="3">
        <v>3</v>
      </c>
      <c r="E86" s="3">
        <v>15</v>
      </c>
      <c r="F86" s="1">
        <v>0</v>
      </c>
      <c r="G86" s="1">
        <v>0</v>
      </c>
      <c r="H86" s="1">
        <v>0</v>
      </c>
      <c r="I86" s="4">
        <v>0</v>
      </c>
      <c r="J86" s="4">
        <v>0</v>
      </c>
      <c r="K86" s="4">
        <v>0</v>
      </c>
      <c r="L86" s="5">
        <v>0</v>
      </c>
      <c r="M86" s="5">
        <v>0</v>
      </c>
      <c r="N86" s="5">
        <v>0</v>
      </c>
      <c r="O86" s="8">
        <v>12</v>
      </c>
      <c r="P86" s="8">
        <v>3</v>
      </c>
      <c r="Q86" s="8">
        <v>15</v>
      </c>
      <c r="R86" s="1">
        <v>43.5</v>
      </c>
      <c r="T86" s="1" t="s">
        <v>17</v>
      </c>
      <c r="U86" s="1">
        <f t="shared" si="6"/>
        <v>43.5</v>
      </c>
    </row>
    <row r="87" spans="1:21" x14ac:dyDescent="0.2">
      <c r="A87" s="1">
        <v>2025</v>
      </c>
      <c r="B87" s="2">
        <v>45719</v>
      </c>
      <c r="C87" s="3">
        <v>14.5</v>
      </c>
      <c r="D87" s="3">
        <v>5.5</v>
      </c>
      <c r="E87" s="3">
        <v>20</v>
      </c>
      <c r="F87" s="1">
        <v>0</v>
      </c>
      <c r="G87" s="1">
        <v>0</v>
      </c>
      <c r="H87" s="1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8">
        <v>14</v>
      </c>
      <c r="P87" s="8">
        <v>6</v>
      </c>
      <c r="Q87" s="8">
        <v>20</v>
      </c>
      <c r="R87" s="1">
        <v>38.5</v>
      </c>
      <c r="T87" s="1" t="s">
        <v>17</v>
      </c>
      <c r="U87" s="1">
        <f t="shared" si="6"/>
        <v>38.5</v>
      </c>
    </row>
    <row r="88" spans="1:21" x14ac:dyDescent="0.2">
      <c r="A88" s="1">
        <v>2025</v>
      </c>
      <c r="B88" s="2">
        <v>45720</v>
      </c>
      <c r="C88" s="3">
        <v>17</v>
      </c>
      <c r="D88" s="3">
        <v>6</v>
      </c>
      <c r="E88" s="3">
        <v>23</v>
      </c>
      <c r="F88" s="1">
        <v>11</v>
      </c>
      <c r="G88" s="1">
        <v>6</v>
      </c>
      <c r="H88" s="1">
        <v>17</v>
      </c>
      <c r="I88" s="4">
        <v>0</v>
      </c>
      <c r="J88" s="4">
        <v>0</v>
      </c>
      <c r="K88" s="4">
        <v>0</v>
      </c>
      <c r="L88" s="5">
        <v>0</v>
      </c>
      <c r="M88" s="5">
        <v>0</v>
      </c>
      <c r="N88" s="5">
        <v>0</v>
      </c>
      <c r="O88" s="8">
        <v>17</v>
      </c>
      <c r="P88" s="8">
        <v>6</v>
      </c>
      <c r="Q88" s="8">
        <v>23</v>
      </c>
      <c r="R88" s="1">
        <v>36.5</v>
      </c>
      <c r="T88" s="1" t="s">
        <v>17</v>
      </c>
      <c r="U88" s="1">
        <f t="shared" si="6"/>
        <v>36.5</v>
      </c>
    </row>
    <row r="89" spans="1:21" x14ac:dyDescent="0.2">
      <c r="A89" s="1">
        <v>2025</v>
      </c>
      <c r="B89" s="2">
        <v>45721</v>
      </c>
      <c r="C89" s="3">
        <v>30</v>
      </c>
      <c r="D89" s="3">
        <v>5</v>
      </c>
      <c r="E89" s="3">
        <v>35</v>
      </c>
      <c r="F89" s="1">
        <v>17</v>
      </c>
      <c r="G89" s="1">
        <v>5</v>
      </c>
      <c r="H89" s="1">
        <v>22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8">
        <v>30</v>
      </c>
      <c r="P89" s="8">
        <v>5</v>
      </c>
      <c r="Q89" s="8">
        <v>35</v>
      </c>
      <c r="R89" s="1">
        <v>54.4</v>
      </c>
      <c r="T89" s="1" t="s">
        <v>17</v>
      </c>
      <c r="U89" s="1">
        <f t="shared" si="6"/>
        <v>54.4</v>
      </c>
    </row>
    <row r="90" spans="1:21" x14ac:dyDescent="0.2">
      <c r="A90" s="1">
        <v>2025</v>
      </c>
      <c r="B90" s="2">
        <v>45722</v>
      </c>
      <c r="C90" s="3">
        <v>53</v>
      </c>
      <c r="D90" s="3">
        <v>47</v>
      </c>
      <c r="E90" s="3">
        <v>100</v>
      </c>
      <c r="F90" s="1">
        <v>47</v>
      </c>
      <c r="G90" s="1">
        <v>48</v>
      </c>
      <c r="H90" s="1">
        <v>95</v>
      </c>
      <c r="I90" s="4">
        <v>0</v>
      </c>
      <c r="J90" s="4">
        <v>0</v>
      </c>
      <c r="K90" s="4">
        <v>0</v>
      </c>
      <c r="L90" s="5">
        <v>0</v>
      </c>
      <c r="M90" s="5">
        <v>0</v>
      </c>
      <c r="N90" s="5">
        <v>0</v>
      </c>
      <c r="O90" s="8">
        <v>53</v>
      </c>
      <c r="P90" s="8">
        <v>47</v>
      </c>
      <c r="Q90" s="8">
        <v>100</v>
      </c>
      <c r="R90" s="1">
        <v>48.8</v>
      </c>
      <c r="T90" s="1" t="s">
        <v>17</v>
      </c>
      <c r="U90" s="1">
        <f t="shared" si="6"/>
        <v>48.8</v>
      </c>
    </row>
    <row r="91" spans="1:21" x14ac:dyDescent="0.2">
      <c r="A91" s="1">
        <v>2025</v>
      </c>
      <c r="B91" s="2">
        <v>45723</v>
      </c>
      <c r="C91" s="3">
        <v>41</v>
      </c>
      <c r="D91" s="3">
        <v>45</v>
      </c>
      <c r="E91" s="3">
        <v>86</v>
      </c>
      <c r="F91" s="1">
        <v>0</v>
      </c>
      <c r="G91" s="1">
        <v>0</v>
      </c>
      <c r="H91" s="1">
        <v>0</v>
      </c>
      <c r="I91" s="4">
        <v>0</v>
      </c>
      <c r="J91" s="4">
        <v>0</v>
      </c>
      <c r="K91" s="4">
        <v>0</v>
      </c>
      <c r="L91" s="5">
        <v>0</v>
      </c>
      <c r="M91" s="5">
        <v>0</v>
      </c>
      <c r="N91" s="5">
        <v>0</v>
      </c>
      <c r="O91" s="8">
        <v>41</v>
      </c>
      <c r="P91" s="8">
        <v>45</v>
      </c>
      <c r="Q91" s="8">
        <v>86</v>
      </c>
      <c r="R91" s="1">
        <v>41</v>
      </c>
      <c r="T91" s="1" t="s">
        <v>17</v>
      </c>
      <c r="U91" s="1">
        <f t="shared" si="6"/>
        <v>41</v>
      </c>
    </row>
    <row r="92" spans="1:21" x14ac:dyDescent="0.2">
      <c r="A92" s="1">
        <v>2025</v>
      </c>
      <c r="B92" s="2">
        <v>45724</v>
      </c>
      <c r="C92" s="3">
        <v>35.799999999999997</v>
      </c>
      <c r="D92" s="3">
        <v>46</v>
      </c>
      <c r="E92" s="3">
        <v>81.8</v>
      </c>
      <c r="F92" s="1">
        <v>0</v>
      </c>
      <c r="G92" s="1">
        <v>0</v>
      </c>
      <c r="H92" s="1">
        <v>0</v>
      </c>
      <c r="I92" s="4">
        <v>0</v>
      </c>
      <c r="J92" s="4">
        <v>0</v>
      </c>
      <c r="K92" s="4">
        <v>0</v>
      </c>
      <c r="L92" s="5">
        <v>0</v>
      </c>
      <c r="M92" s="5">
        <v>0</v>
      </c>
      <c r="N92" s="5">
        <v>0</v>
      </c>
      <c r="O92" s="8">
        <v>36</v>
      </c>
      <c r="P92" s="8">
        <v>46</v>
      </c>
      <c r="Q92" s="8">
        <v>82</v>
      </c>
      <c r="R92" s="1">
        <v>170</v>
      </c>
      <c r="T92" s="1" t="s">
        <v>17</v>
      </c>
      <c r="U92" s="1">
        <f t="shared" si="6"/>
        <v>170</v>
      </c>
    </row>
    <row r="93" spans="1:21" x14ac:dyDescent="0.2">
      <c r="A93" s="1">
        <v>2025</v>
      </c>
      <c r="B93" s="2">
        <v>45725</v>
      </c>
      <c r="C93" s="3">
        <v>30.6</v>
      </c>
      <c r="D93" s="3">
        <v>35</v>
      </c>
      <c r="E93" s="3">
        <v>65.599999999999994</v>
      </c>
      <c r="F93" s="1">
        <v>0</v>
      </c>
      <c r="G93" s="1">
        <v>0</v>
      </c>
      <c r="H93" s="1">
        <v>0</v>
      </c>
      <c r="I93" s="4">
        <v>0</v>
      </c>
      <c r="J93" s="4">
        <v>0</v>
      </c>
      <c r="K93" s="4">
        <v>0</v>
      </c>
      <c r="L93" s="5">
        <v>0</v>
      </c>
      <c r="M93" s="5">
        <v>0</v>
      </c>
      <c r="N93" s="5">
        <v>0</v>
      </c>
      <c r="O93" s="8">
        <v>31</v>
      </c>
      <c r="P93" s="8">
        <v>35</v>
      </c>
      <c r="Q93" s="8">
        <v>66</v>
      </c>
      <c r="R93" s="1">
        <v>345</v>
      </c>
      <c r="T93" s="1" t="s">
        <v>17</v>
      </c>
      <c r="U93" s="1">
        <f t="shared" si="6"/>
        <v>345</v>
      </c>
    </row>
    <row r="94" spans="1:21" x14ac:dyDescent="0.2">
      <c r="A94" s="1">
        <v>2025</v>
      </c>
      <c r="B94" s="2">
        <v>45726</v>
      </c>
      <c r="C94" s="3">
        <v>25.4</v>
      </c>
      <c r="D94" s="3">
        <v>25.6666666666667</v>
      </c>
      <c r="E94" s="3">
        <v>51.066666666666698</v>
      </c>
      <c r="F94" s="1">
        <v>0</v>
      </c>
      <c r="G94" s="1">
        <v>0</v>
      </c>
      <c r="H94" s="1">
        <v>0</v>
      </c>
      <c r="I94" s="4">
        <v>0</v>
      </c>
      <c r="J94" s="4">
        <v>0</v>
      </c>
      <c r="K94" s="4">
        <v>0</v>
      </c>
      <c r="L94" s="5">
        <v>0</v>
      </c>
      <c r="M94" s="5">
        <v>0</v>
      </c>
      <c r="N94" s="5">
        <v>0</v>
      </c>
      <c r="O94" s="8">
        <v>25</v>
      </c>
      <c r="P94" s="8">
        <v>26</v>
      </c>
      <c r="Q94" s="8">
        <v>51</v>
      </c>
      <c r="R94" s="1">
        <v>140</v>
      </c>
      <c r="T94" s="1" t="s">
        <v>17</v>
      </c>
      <c r="U94" s="1">
        <f t="shared" si="6"/>
        <v>140</v>
      </c>
    </row>
    <row r="95" spans="1:21" x14ac:dyDescent="0.2">
      <c r="A95" s="1">
        <v>2025</v>
      </c>
      <c r="B95" s="2">
        <v>45727</v>
      </c>
      <c r="C95" s="3">
        <v>20.2</v>
      </c>
      <c r="D95" s="3">
        <v>16</v>
      </c>
      <c r="E95" s="3">
        <v>36.200000000000003</v>
      </c>
      <c r="F95" s="1">
        <v>0</v>
      </c>
      <c r="G95" s="1">
        <v>0</v>
      </c>
      <c r="H95" s="1">
        <v>0</v>
      </c>
      <c r="I95" s="4">
        <v>0</v>
      </c>
      <c r="J95" s="4">
        <v>0</v>
      </c>
      <c r="K95" s="4">
        <v>0</v>
      </c>
      <c r="L95" s="5">
        <v>0</v>
      </c>
      <c r="M95" s="5">
        <v>0</v>
      </c>
      <c r="N95" s="5">
        <v>0</v>
      </c>
      <c r="O95" s="8">
        <v>20</v>
      </c>
      <c r="P95" s="8">
        <v>16</v>
      </c>
      <c r="Q95" s="8">
        <v>36</v>
      </c>
      <c r="R95" s="1">
        <v>92</v>
      </c>
      <c r="T95" s="1" t="s">
        <v>17</v>
      </c>
      <c r="U95" s="1">
        <f t="shared" si="6"/>
        <v>92</v>
      </c>
    </row>
    <row r="96" spans="1:21" x14ac:dyDescent="0.2">
      <c r="A96" s="1">
        <v>2025</v>
      </c>
      <c r="B96" s="2">
        <v>45728</v>
      </c>
      <c r="C96" s="3">
        <v>15</v>
      </c>
      <c r="D96" s="3">
        <v>13</v>
      </c>
      <c r="E96" s="3">
        <v>28</v>
      </c>
      <c r="F96" s="1">
        <v>10</v>
      </c>
      <c r="G96" s="1">
        <v>13</v>
      </c>
      <c r="H96" s="1">
        <v>23</v>
      </c>
      <c r="I96" s="4">
        <v>0</v>
      </c>
      <c r="J96" s="4">
        <v>0</v>
      </c>
      <c r="K96" s="4">
        <v>0</v>
      </c>
      <c r="L96" s="5">
        <v>0</v>
      </c>
      <c r="M96" s="5">
        <v>0</v>
      </c>
      <c r="N96" s="5">
        <v>0</v>
      </c>
      <c r="O96" s="8">
        <v>15</v>
      </c>
      <c r="P96" s="8">
        <v>13</v>
      </c>
      <c r="Q96" s="8">
        <v>28</v>
      </c>
      <c r="R96" s="1">
        <v>94.3</v>
      </c>
      <c r="T96" s="1" t="s">
        <v>17</v>
      </c>
      <c r="U96" s="1">
        <f t="shared" si="6"/>
        <v>94.3</v>
      </c>
    </row>
    <row r="97" spans="1:21" x14ac:dyDescent="0.2">
      <c r="A97" s="1">
        <v>2025</v>
      </c>
      <c r="B97" s="2">
        <v>45729</v>
      </c>
      <c r="C97" s="3">
        <v>6</v>
      </c>
      <c r="D97" s="3">
        <v>19</v>
      </c>
      <c r="E97" s="3">
        <v>25</v>
      </c>
      <c r="F97" s="1">
        <v>3</v>
      </c>
      <c r="G97" s="1">
        <v>19</v>
      </c>
      <c r="H97" s="1">
        <v>22</v>
      </c>
      <c r="I97" s="4">
        <v>0</v>
      </c>
      <c r="J97" s="4">
        <v>0</v>
      </c>
      <c r="K97" s="4">
        <v>0</v>
      </c>
      <c r="L97" s="5">
        <v>0</v>
      </c>
      <c r="M97" s="5">
        <v>0</v>
      </c>
      <c r="N97" s="5">
        <v>0</v>
      </c>
      <c r="O97" s="8">
        <v>6</v>
      </c>
      <c r="P97" s="8">
        <v>19</v>
      </c>
      <c r="Q97" s="8">
        <v>25</v>
      </c>
      <c r="R97" s="1">
        <v>82.3</v>
      </c>
      <c r="T97" s="1" t="s">
        <v>17</v>
      </c>
      <c r="U97" s="1">
        <f t="shared" si="6"/>
        <v>82.3</v>
      </c>
    </row>
    <row r="98" spans="1:21" x14ac:dyDescent="0.2">
      <c r="A98" s="1">
        <v>2025</v>
      </c>
      <c r="B98" s="2">
        <v>45730</v>
      </c>
      <c r="C98" s="3">
        <v>24</v>
      </c>
      <c r="D98" s="3">
        <v>8</v>
      </c>
      <c r="E98" s="3">
        <v>32</v>
      </c>
      <c r="F98" s="1">
        <v>0</v>
      </c>
      <c r="G98" s="1">
        <v>0</v>
      </c>
      <c r="H98" s="1">
        <v>0</v>
      </c>
      <c r="I98" s="4">
        <v>0</v>
      </c>
      <c r="J98" s="4">
        <v>0</v>
      </c>
      <c r="K98" s="4">
        <v>0</v>
      </c>
      <c r="L98" s="5">
        <v>0</v>
      </c>
      <c r="M98" s="5">
        <v>0</v>
      </c>
      <c r="N98" s="5">
        <v>0</v>
      </c>
      <c r="O98" s="8">
        <v>24</v>
      </c>
      <c r="P98" s="8">
        <v>8</v>
      </c>
      <c r="Q98" s="8">
        <v>32</v>
      </c>
      <c r="R98" s="1">
        <v>66.7</v>
      </c>
      <c r="T98" s="1" t="s">
        <v>17</v>
      </c>
      <c r="U98" s="1">
        <f t="shared" si="6"/>
        <v>66.7</v>
      </c>
    </row>
    <row r="99" spans="1:21" x14ac:dyDescent="0.2">
      <c r="A99" s="1">
        <v>2025</v>
      </c>
      <c r="B99" s="2">
        <v>45731</v>
      </c>
      <c r="C99" s="3">
        <v>21.25</v>
      </c>
      <c r="D99" s="3">
        <v>13.5</v>
      </c>
      <c r="E99" s="3">
        <v>34.75</v>
      </c>
      <c r="F99" s="1">
        <v>0</v>
      </c>
      <c r="G99" s="1">
        <v>0</v>
      </c>
      <c r="H99" s="1">
        <v>0</v>
      </c>
      <c r="I99" s="4">
        <v>0</v>
      </c>
      <c r="J99" s="4">
        <v>0</v>
      </c>
      <c r="K99" s="4">
        <v>0</v>
      </c>
      <c r="L99" s="5">
        <v>0</v>
      </c>
      <c r="M99" s="5">
        <v>0</v>
      </c>
      <c r="N99" s="5">
        <v>0</v>
      </c>
      <c r="O99" s="8">
        <v>21</v>
      </c>
      <c r="P99" s="8">
        <v>14</v>
      </c>
      <c r="Q99" s="8">
        <v>35</v>
      </c>
      <c r="R99" s="1">
        <v>61.4</v>
      </c>
      <c r="T99" s="1" t="s">
        <v>17</v>
      </c>
      <c r="U99" s="1">
        <f t="shared" si="6"/>
        <v>61.4</v>
      </c>
    </row>
    <row r="100" spans="1:21" x14ac:dyDescent="0.2">
      <c r="A100" s="1">
        <v>2025</v>
      </c>
      <c r="B100" s="2">
        <v>45732</v>
      </c>
      <c r="C100" s="3">
        <v>18.5</v>
      </c>
      <c r="D100" s="3">
        <v>14</v>
      </c>
      <c r="E100" s="3">
        <v>32.5</v>
      </c>
      <c r="F100" s="1">
        <v>0</v>
      </c>
      <c r="G100" s="1">
        <v>0</v>
      </c>
      <c r="H100" s="1">
        <v>0</v>
      </c>
      <c r="I100" s="4">
        <v>0</v>
      </c>
      <c r="J100" s="4">
        <v>0</v>
      </c>
      <c r="K100" s="4">
        <v>0</v>
      </c>
      <c r="L100" s="5">
        <v>0</v>
      </c>
      <c r="M100" s="5">
        <v>0</v>
      </c>
      <c r="N100" s="5">
        <v>0</v>
      </c>
      <c r="O100" s="8">
        <v>18</v>
      </c>
      <c r="P100" s="8">
        <v>14</v>
      </c>
      <c r="Q100" s="8">
        <v>32</v>
      </c>
      <c r="R100" s="1">
        <v>68.5</v>
      </c>
      <c r="T100" s="1" t="s">
        <v>17</v>
      </c>
      <c r="U100" s="1">
        <f t="shared" si="6"/>
        <v>68.5</v>
      </c>
    </row>
    <row r="101" spans="1:21" x14ac:dyDescent="0.2">
      <c r="A101" s="1">
        <v>2025</v>
      </c>
      <c r="B101" s="2">
        <v>45733</v>
      </c>
      <c r="C101" s="3">
        <v>15.75</v>
      </c>
      <c r="D101" s="3">
        <v>20</v>
      </c>
      <c r="E101" s="3">
        <v>35.75</v>
      </c>
      <c r="F101" s="1">
        <v>0</v>
      </c>
      <c r="G101" s="1">
        <v>0</v>
      </c>
      <c r="H101" s="1">
        <v>0</v>
      </c>
      <c r="I101" s="4">
        <v>0</v>
      </c>
      <c r="J101" s="4">
        <v>0</v>
      </c>
      <c r="K101" s="4">
        <v>0</v>
      </c>
      <c r="L101" s="5">
        <v>0</v>
      </c>
      <c r="M101" s="5">
        <v>0</v>
      </c>
      <c r="N101" s="5">
        <v>0</v>
      </c>
      <c r="O101" s="8">
        <v>16</v>
      </c>
      <c r="P101" s="8">
        <v>20</v>
      </c>
      <c r="Q101" s="8">
        <v>36</v>
      </c>
      <c r="R101" s="1">
        <v>68.5</v>
      </c>
      <c r="T101" s="1" t="s">
        <v>17</v>
      </c>
      <c r="U101" s="1">
        <f t="shared" si="6"/>
        <v>68.5</v>
      </c>
    </row>
    <row r="102" spans="1:21" x14ac:dyDescent="0.2">
      <c r="A102" s="1">
        <v>2025</v>
      </c>
      <c r="B102" s="2">
        <v>45734</v>
      </c>
      <c r="C102" s="3">
        <v>13</v>
      </c>
      <c r="D102" s="3">
        <v>20</v>
      </c>
      <c r="E102" s="3">
        <v>33</v>
      </c>
      <c r="F102" s="1">
        <v>13</v>
      </c>
      <c r="G102" s="1">
        <v>20</v>
      </c>
      <c r="H102" s="1">
        <v>33</v>
      </c>
      <c r="I102" s="4">
        <v>0</v>
      </c>
      <c r="J102" s="4">
        <v>0</v>
      </c>
      <c r="K102" s="4">
        <v>0</v>
      </c>
      <c r="L102" s="5">
        <v>0</v>
      </c>
      <c r="M102" s="5">
        <v>0</v>
      </c>
      <c r="N102" s="5">
        <v>0</v>
      </c>
      <c r="O102" s="8">
        <v>13</v>
      </c>
      <c r="P102" s="8">
        <v>20</v>
      </c>
      <c r="Q102" s="8">
        <v>33</v>
      </c>
      <c r="R102" s="1">
        <v>57.7</v>
      </c>
      <c r="T102" s="1" t="s">
        <v>17</v>
      </c>
      <c r="U102" s="1">
        <f t="shared" si="6"/>
        <v>57.7</v>
      </c>
    </row>
    <row r="103" spans="1:21" x14ac:dyDescent="0.2">
      <c r="A103" s="1">
        <v>2025</v>
      </c>
      <c r="B103" s="2">
        <v>45735</v>
      </c>
      <c r="C103" s="3">
        <v>28</v>
      </c>
      <c r="D103" s="3">
        <v>20</v>
      </c>
      <c r="E103" s="3">
        <v>48</v>
      </c>
      <c r="F103" s="1">
        <v>21</v>
      </c>
      <c r="G103" s="1">
        <v>20</v>
      </c>
      <c r="H103" s="1">
        <v>41</v>
      </c>
      <c r="I103" s="4">
        <v>0</v>
      </c>
      <c r="J103" s="4">
        <v>0</v>
      </c>
      <c r="K103" s="4">
        <v>0</v>
      </c>
      <c r="L103" s="5">
        <v>0</v>
      </c>
      <c r="M103" s="5">
        <v>0</v>
      </c>
      <c r="N103" s="5">
        <v>0</v>
      </c>
      <c r="O103" s="8">
        <v>28</v>
      </c>
      <c r="P103" s="8">
        <v>20</v>
      </c>
      <c r="Q103" s="8">
        <v>48</v>
      </c>
      <c r="R103" s="1">
        <v>51.8</v>
      </c>
      <c r="T103" s="1" t="s">
        <v>17</v>
      </c>
      <c r="U103" s="1">
        <f t="shared" si="6"/>
        <v>51.8</v>
      </c>
    </row>
    <row r="104" spans="1:21" x14ac:dyDescent="0.2">
      <c r="A104" s="1">
        <v>2025</v>
      </c>
      <c r="B104" s="2">
        <v>45736</v>
      </c>
      <c r="C104" s="3">
        <v>7</v>
      </c>
      <c r="D104" s="3">
        <v>4</v>
      </c>
      <c r="E104" s="3">
        <v>11</v>
      </c>
      <c r="F104" s="1">
        <v>0</v>
      </c>
      <c r="G104" s="1">
        <v>0</v>
      </c>
      <c r="H104" s="1">
        <v>0</v>
      </c>
      <c r="I104" s="4">
        <v>0</v>
      </c>
      <c r="J104" s="4">
        <v>0</v>
      </c>
      <c r="K104" s="4">
        <v>0</v>
      </c>
      <c r="L104" s="5">
        <v>0</v>
      </c>
      <c r="M104" s="5">
        <v>0</v>
      </c>
      <c r="N104" s="5">
        <v>0</v>
      </c>
      <c r="O104" s="8">
        <v>7</v>
      </c>
      <c r="P104" s="8">
        <v>4</v>
      </c>
      <c r="Q104" s="8">
        <v>11</v>
      </c>
      <c r="R104" s="1">
        <v>91.6</v>
      </c>
      <c r="T104" s="1" t="s">
        <v>17</v>
      </c>
      <c r="U104" s="1">
        <f t="shared" si="6"/>
        <v>91.6</v>
      </c>
    </row>
    <row r="105" spans="1:21" x14ac:dyDescent="0.2">
      <c r="A105" s="1">
        <v>2025</v>
      </c>
      <c r="B105" s="2">
        <v>45737</v>
      </c>
      <c r="C105" s="3">
        <v>3</v>
      </c>
      <c r="D105" s="3">
        <v>18</v>
      </c>
      <c r="E105" s="3">
        <v>21</v>
      </c>
      <c r="F105" s="1">
        <v>0</v>
      </c>
      <c r="G105" s="1">
        <v>0</v>
      </c>
      <c r="H105" s="1">
        <v>0</v>
      </c>
      <c r="I105" s="4">
        <v>0</v>
      </c>
      <c r="J105" s="4">
        <v>0</v>
      </c>
      <c r="K105" s="4">
        <v>0</v>
      </c>
      <c r="L105" s="5">
        <v>0</v>
      </c>
      <c r="M105" s="5">
        <v>0</v>
      </c>
      <c r="N105" s="5">
        <v>0</v>
      </c>
      <c r="O105" s="8">
        <v>3</v>
      </c>
      <c r="P105" s="8">
        <v>18</v>
      </c>
      <c r="Q105" s="8">
        <v>21</v>
      </c>
      <c r="R105" s="1">
        <v>162</v>
      </c>
      <c r="T105" s="1" t="s">
        <v>17</v>
      </c>
      <c r="U105" s="1">
        <f t="shared" si="6"/>
        <v>162</v>
      </c>
    </row>
    <row r="106" spans="1:21" x14ac:dyDescent="0.2">
      <c r="A106" s="1">
        <v>2025</v>
      </c>
      <c r="B106" s="2">
        <v>45738</v>
      </c>
      <c r="C106" s="3">
        <v>3</v>
      </c>
      <c r="D106" s="3">
        <v>11</v>
      </c>
      <c r="E106" s="3">
        <v>14</v>
      </c>
      <c r="F106" s="1">
        <v>0</v>
      </c>
      <c r="G106" s="1">
        <v>0</v>
      </c>
      <c r="H106" s="1">
        <v>0</v>
      </c>
      <c r="I106" s="4">
        <v>0</v>
      </c>
      <c r="J106" s="4">
        <v>0</v>
      </c>
      <c r="K106" s="4">
        <v>0</v>
      </c>
      <c r="L106" s="5">
        <v>0</v>
      </c>
      <c r="M106" s="5">
        <v>0</v>
      </c>
      <c r="N106" s="5">
        <v>0</v>
      </c>
      <c r="O106" s="8">
        <v>3</v>
      </c>
      <c r="P106" s="8">
        <v>11</v>
      </c>
      <c r="Q106" s="8">
        <v>14</v>
      </c>
      <c r="R106" s="1">
        <v>115</v>
      </c>
      <c r="T106" s="1" t="s">
        <v>17</v>
      </c>
      <c r="U106" s="1">
        <f t="shared" si="6"/>
        <v>115</v>
      </c>
    </row>
    <row r="107" spans="1:21" x14ac:dyDescent="0.2">
      <c r="A107" s="1">
        <v>2025</v>
      </c>
      <c r="B107" s="2">
        <v>45739</v>
      </c>
      <c r="C107" s="3">
        <v>3</v>
      </c>
      <c r="D107" s="3">
        <v>11</v>
      </c>
      <c r="E107" s="3">
        <v>14</v>
      </c>
      <c r="F107" s="1">
        <v>0</v>
      </c>
      <c r="G107" s="1">
        <v>0</v>
      </c>
      <c r="H107" s="1">
        <v>0</v>
      </c>
      <c r="I107" s="4">
        <v>0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8">
        <v>3</v>
      </c>
      <c r="P107" s="8">
        <v>11</v>
      </c>
      <c r="Q107" s="8">
        <v>14</v>
      </c>
      <c r="R107" s="1">
        <v>238</v>
      </c>
      <c r="T107" s="1" t="s">
        <v>17</v>
      </c>
      <c r="U107" s="1">
        <f t="shared" si="6"/>
        <v>238</v>
      </c>
    </row>
    <row r="108" spans="1:21" x14ac:dyDescent="0.2">
      <c r="A108" s="1">
        <v>2025</v>
      </c>
      <c r="B108" s="2">
        <v>45740</v>
      </c>
      <c r="C108" s="3">
        <v>3</v>
      </c>
      <c r="D108" s="3">
        <v>11</v>
      </c>
      <c r="E108" s="3">
        <v>14</v>
      </c>
      <c r="F108" s="1">
        <v>0</v>
      </c>
      <c r="G108" s="1">
        <v>0</v>
      </c>
      <c r="H108" s="1">
        <v>0</v>
      </c>
      <c r="I108" s="4">
        <v>0</v>
      </c>
      <c r="J108" s="4">
        <v>0</v>
      </c>
      <c r="K108" s="4">
        <v>0</v>
      </c>
      <c r="L108" s="5">
        <v>0</v>
      </c>
      <c r="M108" s="5">
        <v>0</v>
      </c>
      <c r="N108" s="5">
        <v>0</v>
      </c>
      <c r="O108" s="8">
        <v>3</v>
      </c>
      <c r="P108" s="8">
        <v>11</v>
      </c>
      <c r="Q108" s="8">
        <v>14</v>
      </c>
      <c r="R108" s="1">
        <v>285</v>
      </c>
      <c r="T108" s="1" t="s">
        <v>17</v>
      </c>
      <c r="U108" s="1">
        <f t="shared" si="6"/>
        <v>285</v>
      </c>
    </row>
    <row r="109" spans="1:21" x14ac:dyDescent="0.2">
      <c r="A109" s="1">
        <v>2025</v>
      </c>
      <c r="B109" s="2">
        <v>45741</v>
      </c>
      <c r="C109" s="3">
        <v>3</v>
      </c>
      <c r="D109" s="3">
        <v>11</v>
      </c>
      <c r="E109" s="3">
        <v>14</v>
      </c>
      <c r="F109" s="1">
        <v>0</v>
      </c>
      <c r="G109" s="1">
        <v>0</v>
      </c>
      <c r="H109" s="1">
        <v>0</v>
      </c>
      <c r="I109" s="4">
        <v>0</v>
      </c>
      <c r="J109" s="4">
        <v>0</v>
      </c>
      <c r="K109" s="4">
        <v>0</v>
      </c>
      <c r="L109" s="5">
        <v>0</v>
      </c>
      <c r="M109" s="5">
        <v>0</v>
      </c>
      <c r="N109" s="5">
        <v>0</v>
      </c>
      <c r="O109" s="8">
        <v>3</v>
      </c>
      <c r="P109" s="8">
        <v>11</v>
      </c>
      <c r="Q109" s="8">
        <v>14</v>
      </c>
      <c r="R109" s="1">
        <v>195</v>
      </c>
      <c r="T109" s="1" t="s">
        <v>17</v>
      </c>
      <c r="U109" s="1">
        <f t="shared" si="6"/>
        <v>195</v>
      </c>
    </row>
    <row r="110" spans="1:21" x14ac:dyDescent="0.2">
      <c r="A110" s="1">
        <v>2025</v>
      </c>
      <c r="B110" s="2">
        <v>45742</v>
      </c>
      <c r="C110" s="3">
        <v>3</v>
      </c>
      <c r="D110" s="3">
        <v>11</v>
      </c>
      <c r="E110" s="3">
        <v>14</v>
      </c>
      <c r="F110" s="1">
        <v>0</v>
      </c>
      <c r="G110" s="1">
        <v>0</v>
      </c>
      <c r="H110" s="1">
        <v>0</v>
      </c>
      <c r="I110" s="4">
        <v>0</v>
      </c>
      <c r="J110" s="4">
        <v>0</v>
      </c>
      <c r="K110" s="4">
        <v>0</v>
      </c>
      <c r="L110" s="5">
        <v>0</v>
      </c>
      <c r="M110" s="5">
        <v>0</v>
      </c>
      <c r="N110" s="5">
        <v>0</v>
      </c>
      <c r="O110" s="8">
        <v>3</v>
      </c>
      <c r="P110" s="8">
        <v>11</v>
      </c>
      <c r="Q110" s="8">
        <v>14</v>
      </c>
      <c r="R110" s="1">
        <v>121</v>
      </c>
      <c r="T110" s="1" t="s">
        <v>17</v>
      </c>
      <c r="U110" s="1">
        <f t="shared" si="6"/>
        <v>121</v>
      </c>
    </row>
    <row r="111" spans="1:21" x14ac:dyDescent="0.2">
      <c r="A111" s="1">
        <v>2025</v>
      </c>
      <c r="B111" s="2">
        <v>45743</v>
      </c>
      <c r="C111" s="3">
        <v>3</v>
      </c>
      <c r="D111" s="3">
        <v>15</v>
      </c>
      <c r="E111" s="3">
        <v>18</v>
      </c>
      <c r="F111" s="1">
        <v>0</v>
      </c>
      <c r="G111" s="1">
        <v>0</v>
      </c>
      <c r="H111" s="1">
        <v>0</v>
      </c>
      <c r="I111" s="4">
        <v>0</v>
      </c>
      <c r="J111" s="4">
        <v>0</v>
      </c>
      <c r="K111" s="4">
        <v>0</v>
      </c>
      <c r="L111" s="5">
        <v>0</v>
      </c>
      <c r="M111" s="5">
        <v>0</v>
      </c>
      <c r="N111" s="5">
        <v>0</v>
      </c>
      <c r="O111" s="8">
        <v>3</v>
      </c>
      <c r="P111" s="8">
        <v>15</v>
      </c>
      <c r="Q111" s="8">
        <v>18</v>
      </c>
      <c r="R111" s="1">
        <v>127</v>
      </c>
      <c r="T111" s="1" t="s">
        <v>17</v>
      </c>
      <c r="U111" s="1">
        <f t="shared" si="6"/>
        <v>127</v>
      </c>
    </row>
    <row r="112" spans="1:21" x14ac:dyDescent="0.2">
      <c r="A112" s="1">
        <v>2025</v>
      </c>
      <c r="B112" s="2">
        <v>45744</v>
      </c>
      <c r="C112" s="3">
        <v>3</v>
      </c>
      <c r="D112" s="3">
        <v>11</v>
      </c>
      <c r="E112" s="3">
        <v>14</v>
      </c>
      <c r="F112" s="1">
        <v>0</v>
      </c>
      <c r="G112" s="1">
        <v>0</v>
      </c>
      <c r="H112" s="1">
        <v>0</v>
      </c>
      <c r="I112" s="4">
        <v>0</v>
      </c>
      <c r="J112" s="4">
        <v>0</v>
      </c>
      <c r="K112" s="4">
        <v>0</v>
      </c>
      <c r="L112" s="5">
        <v>0</v>
      </c>
      <c r="M112" s="5">
        <v>0</v>
      </c>
      <c r="N112" s="5">
        <v>0</v>
      </c>
      <c r="O112" s="8">
        <v>3</v>
      </c>
      <c r="P112" s="8">
        <v>11</v>
      </c>
      <c r="Q112" s="8">
        <v>14</v>
      </c>
      <c r="R112" s="1">
        <v>99.4</v>
      </c>
      <c r="T112" s="1" t="s">
        <v>17</v>
      </c>
      <c r="U112" s="1">
        <f t="shared" si="6"/>
        <v>99.4</v>
      </c>
    </row>
    <row r="113" spans="1:21" x14ac:dyDescent="0.2">
      <c r="A113" s="1">
        <v>2025</v>
      </c>
      <c r="B113" s="2">
        <v>45745</v>
      </c>
      <c r="C113" s="3">
        <v>3</v>
      </c>
      <c r="D113" s="3">
        <v>11</v>
      </c>
      <c r="E113" s="3">
        <v>14</v>
      </c>
      <c r="F113" s="1">
        <v>0</v>
      </c>
      <c r="G113" s="1">
        <v>0</v>
      </c>
      <c r="H113" s="1">
        <v>0</v>
      </c>
      <c r="I113" s="4">
        <v>0</v>
      </c>
      <c r="J113" s="4">
        <v>0</v>
      </c>
      <c r="K113" s="4">
        <v>0</v>
      </c>
      <c r="L113" s="5">
        <v>0</v>
      </c>
      <c r="M113" s="5">
        <v>0</v>
      </c>
      <c r="N113" s="5">
        <v>0</v>
      </c>
      <c r="O113" s="8">
        <v>3</v>
      </c>
      <c r="P113" s="8">
        <v>11</v>
      </c>
      <c r="Q113" s="8">
        <v>14</v>
      </c>
      <c r="R113" s="1">
        <v>111</v>
      </c>
      <c r="T113" s="1" t="s">
        <v>17</v>
      </c>
      <c r="U113" s="1">
        <f t="shared" si="6"/>
        <v>111</v>
      </c>
    </row>
    <row r="114" spans="1:21" x14ac:dyDescent="0.2">
      <c r="A114" s="1">
        <v>2025</v>
      </c>
      <c r="B114" s="2">
        <v>45746</v>
      </c>
      <c r="C114" s="3">
        <v>3</v>
      </c>
      <c r="D114" s="3">
        <v>11</v>
      </c>
      <c r="E114" s="3">
        <v>14</v>
      </c>
      <c r="F114" s="1">
        <v>0</v>
      </c>
      <c r="G114" s="1">
        <v>0</v>
      </c>
      <c r="H114" s="1">
        <v>0</v>
      </c>
      <c r="I114" s="4">
        <v>0</v>
      </c>
      <c r="J114" s="4">
        <v>0</v>
      </c>
      <c r="K114" s="4">
        <v>0</v>
      </c>
      <c r="L114" s="5">
        <v>0</v>
      </c>
      <c r="M114" s="5">
        <v>0</v>
      </c>
      <c r="N114" s="5">
        <v>0</v>
      </c>
      <c r="O114" s="8">
        <v>3</v>
      </c>
      <c r="P114" s="8">
        <v>11</v>
      </c>
      <c r="Q114" s="8">
        <v>14</v>
      </c>
      <c r="R114" s="1">
        <v>82.5</v>
      </c>
      <c r="T114" s="1" t="s">
        <v>17</v>
      </c>
      <c r="U114" s="1">
        <f t="shared" si="6"/>
        <v>82.5</v>
      </c>
    </row>
    <row r="115" spans="1:21" x14ac:dyDescent="0.2">
      <c r="A115" s="1">
        <v>2025</v>
      </c>
      <c r="B115" s="2">
        <v>45747</v>
      </c>
      <c r="C115" s="3">
        <v>3</v>
      </c>
      <c r="D115" s="3">
        <v>11</v>
      </c>
      <c r="E115" s="3">
        <v>14</v>
      </c>
      <c r="F115" s="1">
        <v>0</v>
      </c>
      <c r="G115" s="1">
        <v>0</v>
      </c>
      <c r="H115" s="1">
        <v>0</v>
      </c>
      <c r="I115" s="4">
        <v>0</v>
      </c>
      <c r="J115" s="4">
        <v>0</v>
      </c>
      <c r="K115" s="4">
        <v>0</v>
      </c>
      <c r="L115" s="5">
        <v>0</v>
      </c>
      <c r="M115" s="5">
        <v>0</v>
      </c>
      <c r="N115" s="5">
        <v>0</v>
      </c>
      <c r="O115" s="8">
        <v>3</v>
      </c>
      <c r="P115" s="8">
        <v>11</v>
      </c>
      <c r="Q115" s="8">
        <v>14</v>
      </c>
      <c r="R115" s="1">
        <v>65.5</v>
      </c>
      <c r="T115" s="1" t="s">
        <v>17</v>
      </c>
      <c r="U115" s="1">
        <f t="shared" si="6"/>
        <v>65.5</v>
      </c>
    </row>
    <row r="116" spans="1:21" x14ac:dyDescent="0.2">
      <c r="A116" s="1">
        <v>2025</v>
      </c>
      <c r="B116" s="2">
        <v>45748</v>
      </c>
      <c r="C116" s="3">
        <v>3</v>
      </c>
      <c r="D116" s="3">
        <v>11</v>
      </c>
      <c r="E116" s="3">
        <v>14</v>
      </c>
      <c r="F116" s="1">
        <v>0</v>
      </c>
      <c r="G116" s="1">
        <v>0</v>
      </c>
      <c r="H116" s="1">
        <v>0</v>
      </c>
      <c r="I116" s="4">
        <v>0</v>
      </c>
      <c r="J116" s="4">
        <v>0</v>
      </c>
      <c r="K116" s="4">
        <v>0</v>
      </c>
      <c r="L116" s="5">
        <v>0</v>
      </c>
      <c r="M116" s="5">
        <v>0</v>
      </c>
      <c r="N116" s="5">
        <v>0</v>
      </c>
      <c r="O116" s="8">
        <v>3</v>
      </c>
      <c r="P116" s="8">
        <v>11</v>
      </c>
      <c r="Q116" s="8">
        <v>14</v>
      </c>
      <c r="R116" s="1">
        <v>54.9</v>
      </c>
      <c r="T116" s="1" t="s">
        <v>17</v>
      </c>
      <c r="U116" s="1">
        <f t="shared" si="6"/>
        <v>54.9</v>
      </c>
    </row>
    <row r="117" spans="1:21" x14ac:dyDescent="0.2">
      <c r="A117" s="1">
        <v>2025</v>
      </c>
      <c r="B117" s="2">
        <v>45749</v>
      </c>
      <c r="C117" s="3">
        <v>3</v>
      </c>
      <c r="D117" s="3">
        <v>12</v>
      </c>
      <c r="E117" s="3">
        <v>15</v>
      </c>
      <c r="F117" s="1">
        <v>3</v>
      </c>
      <c r="G117" s="1">
        <v>12</v>
      </c>
      <c r="H117" s="1">
        <v>15</v>
      </c>
      <c r="I117" s="4">
        <v>0</v>
      </c>
      <c r="J117" s="4">
        <v>0</v>
      </c>
      <c r="K117" s="4">
        <v>0</v>
      </c>
      <c r="L117" s="5">
        <v>0</v>
      </c>
      <c r="M117" s="5">
        <v>0</v>
      </c>
      <c r="N117" s="5">
        <v>0</v>
      </c>
      <c r="O117" s="8">
        <v>3</v>
      </c>
      <c r="P117" s="8">
        <v>12</v>
      </c>
      <c r="Q117" s="8">
        <v>15</v>
      </c>
      <c r="R117" s="1">
        <v>47</v>
      </c>
      <c r="T117" s="1" t="s">
        <v>17</v>
      </c>
      <c r="U117" s="1">
        <f t="shared" si="6"/>
        <v>47</v>
      </c>
    </row>
    <row r="118" spans="1:21" x14ac:dyDescent="0.2">
      <c r="A118" s="1">
        <v>2025</v>
      </c>
      <c r="B118" s="2">
        <v>45750</v>
      </c>
      <c r="C118" s="3">
        <v>1</v>
      </c>
      <c r="D118" s="3">
        <v>10</v>
      </c>
      <c r="E118" s="3">
        <v>11</v>
      </c>
      <c r="F118" s="1">
        <v>0</v>
      </c>
      <c r="G118" s="1">
        <v>0</v>
      </c>
      <c r="H118" s="1">
        <v>0</v>
      </c>
      <c r="I118" s="4">
        <v>0</v>
      </c>
      <c r="J118" s="4">
        <v>0</v>
      </c>
      <c r="K118" s="4">
        <v>0</v>
      </c>
      <c r="L118" s="5">
        <v>0</v>
      </c>
      <c r="M118" s="5">
        <v>0</v>
      </c>
      <c r="N118" s="5">
        <v>0</v>
      </c>
      <c r="O118" s="8">
        <v>1</v>
      </c>
      <c r="P118" s="8">
        <v>10</v>
      </c>
      <c r="Q118" s="8">
        <v>11</v>
      </c>
      <c r="R118" s="1">
        <v>40.5</v>
      </c>
      <c r="T118" s="1" t="s">
        <v>17</v>
      </c>
      <c r="U118" s="1">
        <f t="shared" si="6"/>
        <v>40.5</v>
      </c>
    </row>
    <row r="119" spans="1:21" x14ac:dyDescent="0.2">
      <c r="A119" s="1">
        <v>2025</v>
      </c>
      <c r="B119" s="2">
        <v>45751</v>
      </c>
      <c r="C119" s="3">
        <v>1</v>
      </c>
      <c r="D119" s="3">
        <v>2</v>
      </c>
      <c r="E119" s="3">
        <v>3</v>
      </c>
      <c r="F119" s="1">
        <v>0</v>
      </c>
      <c r="G119" s="1">
        <v>0</v>
      </c>
      <c r="H119" s="1">
        <v>0</v>
      </c>
      <c r="I119" s="4">
        <v>0</v>
      </c>
      <c r="J119" s="4">
        <v>0</v>
      </c>
      <c r="K119" s="4">
        <v>0</v>
      </c>
      <c r="L119" s="5">
        <v>0</v>
      </c>
      <c r="M119" s="5">
        <v>0</v>
      </c>
      <c r="N119" s="5">
        <v>0</v>
      </c>
      <c r="O119" s="8">
        <v>1</v>
      </c>
      <c r="P119" s="8">
        <v>2</v>
      </c>
      <c r="Q119" s="8">
        <v>3</v>
      </c>
      <c r="R119" s="1">
        <v>35.5</v>
      </c>
      <c r="T119" s="1" t="s">
        <v>17</v>
      </c>
      <c r="U119" s="1">
        <f t="shared" si="6"/>
        <v>35.5</v>
      </c>
    </row>
    <row r="120" spans="1:21" x14ac:dyDescent="0.2">
      <c r="A120" s="1">
        <v>2025</v>
      </c>
      <c r="B120" s="2">
        <v>45752</v>
      </c>
      <c r="C120" s="3">
        <v>1</v>
      </c>
      <c r="D120" s="3">
        <v>6</v>
      </c>
      <c r="E120" s="3">
        <v>7</v>
      </c>
      <c r="F120" s="1">
        <v>0</v>
      </c>
      <c r="G120" s="1">
        <v>0</v>
      </c>
      <c r="H120" s="1">
        <v>0</v>
      </c>
      <c r="I120" s="4">
        <v>0</v>
      </c>
      <c r="J120" s="4">
        <v>0</v>
      </c>
      <c r="K120" s="4">
        <v>0</v>
      </c>
      <c r="L120" s="5">
        <v>0</v>
      </c>
      <c r="M120" s="5">
        <v>0</v>
      </c>
      <c r="N120" s="5">
        <v>0</v>
      </c>
      <c r="O120" s="8">
        <v>1</v>
      </c>
      <c r="P120" s="8">
        <v>6</v>
      </c>
      <c r="Q120" s="8">
        <v>7</v>
      </c>
      <c r="R120" s="1">
        <v>32</v>
      </c>
      <c r="T120" s="1" t="s">
        <v>17</v>
      </c>
      <c r="U120" s="1">
        <f t="shared" si="6"/>
        <v>32</v>
      </c>
    </row>
    <row r="121" spans="1:21" x14ac:dyDescent="0.2">
      <c r="A121" s="1">
        <v>2025</v>
      </c>
      <c r="B121" s="2">
        <v>45753</v>
      </c>
      <c r="C121" s="3">
        <v>1</v>
      </c>
      <c r="D121" s="3">
        <v>4.5</v>
      </c>
      <c r="E121" s="3">
        <v>5.5</v>
      </c>
      <c r="F121" s="1">
        <v>0</v>
      </c>
      <c r="G121" s="1">
        <v>0</v>
      </c>
      <c r="H121" s="1">
        <v>0</v>
      </c>
      <c r="I121" s="4">
        <v>0</v>
      </c>
      <c r="J121" s="4">
        <v>0</v>
      </c>
      <c r="K121" s="4">
        <v>0</v>
      </c>
      <c r="L121" s="5">
        <v>0</v>
      </c>
      <c r="M121" s="5">
        <v>0</v>
      </c>
      <c r="N121" s="5">
        <v>0</v>
      </c>
      <c r="O121" s="8">
        <v>1</v>
      </c>
      <c r="P121" s="8">
        <v>4</v>
      </c>
      <c r="Q121" s="8">
        <v>6</v>
      </c>
      <c r="R121" s="1">
        <v>33.9</v>
      </c>
      <c r="T121" s="1" t="s">
        <v>17</v>
      </c>
      <c r="U121" s="1">
        <f t="shared" si="6"/>
        <v>33.9</v>
      </c>
    </row>
    <row r="122" spans="1:21" x14ac:dyDescent="0.2">
      <c r="A122" s="1">
        <v>2025</v>
      </c>
      <c r="B122" s="2">
        <v>45754</v>
      </c>
      <c r="C122" s="3">
        <v>1</v>
      </c>
      <c r="D122" s="3">
        <v>11</v>
      </c>
      <c r="E122" s="3">
        <v>12</v>
      </c>
      <c r="F122" s="1">
        <v>0</v>
      </c>
      <c r="G122" s="1">
        <v>0</v>
      </c>
      <c r="H122" s="1">
        <v>0</v>
      </c>
      <c r="I122" s="4">
        <v>0</v>
      </c>
      <c r="J122" s="4">
        <v>0</v>
      </c>
      <c r="K122" s="4">
        <v>0</v>
      </c>
      <c r="L122" s="5">
        <v>0</v>
      </c>
      <c r="M122" s="5">
        <v>0</v>
      </c>
      <c r="N122" s="5">
        <v>0</v>
      </c>
      <c r="O122" s="8">
        <v>1</v>
      </c>
      <c r="P122" s="8">
        <v>11</v>
      </c>
      <c r="Q122" s="8">
        <v>12</v>
      </c>
      <c r="R122" s="1">
        <v>49.2</v>
      </c>
      <c r="T122" s="1" t="s">
        <v>17</v>
      </c>
      <c r="U122" s="1">
        <f t="shared" si="6"/>
        <v>49.2</v>
      </c>
    </row>
    <row r="123" spans="1:21" x14ac:dyDescent="0.2">
      <c r="A123" s="1">
        <v>2025</v>
      </c>
      <c r="B123" s="2">
        <v>45755</v>
      </c>
      <c r="C123" s="3">
        <v>1</v>
      </c>
      <c r="D123" s="3">
        <v>7</v>
      </c>
      <c r="E123" s="3">
        <v>8</v>
      </c>
      <c r="F123" s="1">
        <v>1</v>
      </c>
      <c r="G123" s="1">
        <v>7</v>
      </c>
      <c r="H123" s="1">
        <v>8</v>
      </c>
      <c r="I123" s="4">
        <v>0</v>
      </c>
      <c r="J123" s="4">
        <v>0</v>
      </c>
      <c r="K123" s="4">
        <v>0</v>
      </c>
      <c r="L123" s="5">
        <v>0</v>
      </c>
      <c r="M123" s="5">
        <v>0</v>
      </c>
      <c r="N123" s="5">
        <v>0</v>
      </c>
      <c r="O123" s="8">
        <v>1</v>
      </c>
      <c r="P123" s="8">
        <v>7</v>
      </c>
      <c r="Q123" s="8">
        <v>8</v>
      </c>
      <c r="R123" s="1">
        <v>68.900000000000006</v>
      </c>
      <c r="T123" s="1" t="s">
        <v>17</v>
      </c>
      <c r="U123" s="1">
        <f t="shared" si="6"/>
        <v>68.900000000000006</v>
      </c>
    </row>
    <row r="124" spans="1:21" x14ac:dyDescent="0.2">
      <c r="A124" s="1">
        <v>2025</v>
      </c>
      <c r="B124" s="2">
        <v>45756</v>
      </c>
      <c r="C124" s="3">
        <v>5</v>
      </c>
      <c r="D124" s="3">
        <v>15</v>
      </c>
      <c r="E124" s="3">
        <v>20</v>
      </c>
      <c r="F124" s="1">
        <v>5</v>
      </c>
      <c r="G124" s="1">
        <v>15</v>
      </c>
      <c r="H124" s="1">
        <v>20</v>
      </c>
      <c r="I124" s="4">
        <v>0</v>
      </c>
      <c r="J124" s="4">
        <v>0</v>
      </c>
      <c r="K124" s="4">
        <v>0</v>
      </c>
      <c r="L124" s="5">
        <v>0</v>
      </c>
      <c r="M124" s="5">
        <v>0</v>
      </c>
      <c r="N124" s="5">
        <v>0</v>
      </c>
      <c r="O124" s="8">
        <v>5</v>
      </c>
      <c r="P124" s="8">
        <v>15</v>
      </c>
      <c r="Q124" s="8">
        <v>20</v>
      </c>
      <c r="R124" s="1">
        <v>89.7</v>
      </c>
      <c r="T124" s="1" t="s">
        <v>17</v>
      </c>
      <c r="U124" s="1">
        <f t="shared" si="6"/>
        <v>89.7</v>
      </c>
    </row>
    <row r="125" spans="1:21" x14ac:dyDescent="0.2">
      <c r="A125" s="1">
        <v>2025</v>
      </c>
      <c r="B125" s="2">
        <v>45757</v>
      </c>
      <c r="C125" s="3">
        <v>4</v>
      </c>
      <c r="D125" s="3">
        <v>5</v>
      </c>
      <c r="E125" s="3">
        <v>9</v>
      </c>
      <c r="F125" s="1">
        <v>4</v>
      </c>
      <c r="G125" s="1">
        <v>5</v>
      </c>
      <c r="H125" s="1">
        <v>9</v>
      </c>
      <c r="I125" s="4">
        <v>0</v>
      </c>
      <c r="J125" s="4">
        <v>0</v>
      </c>
      <c r="K125" s="4">
        <v>0</v>
      </c>
      <c r="L125" s="5">
        <v>0</v>
      </c>
      <c r="M125" s="5">
        <v>0</v>
      </c>
      <c r="N125" s="5">
        <v>0</v>
      </c>
      <c r="O125" s="8">
        <v>4</v>
      </c>
      <c r="P125" s="8">
        <v>5</v>
      </c>
      <c r="Q125" s="8">
        <v>9</v>
      </c>
      <c r="R125" s="1">
        <v>64.099999999999994</v>
      </c>
      <c r="T125" s="1" t="s">
        <v>17</v>
      </c>
      <c r="U125" s="1">
        <f t="shared" si="6"/>
        <v>64.099999999999994</v>
      </c>
    </row>
    <row r="126" spans="1:21" x14ac:dyDescent="0.2">
      <c r="A126" s="1">
        <v>2025</v>
      </c>
      <c r="B126" s="2">
        <v>45758</v>
      </c>
      <c r="C126" s="3">
        <v>0</v>
      </c>
      <c r="D126" s="3">
        <v>10</v>
      </c>
      <c r="E126" s="3">
        <v>10</v>
      </c>
      <c r="F126" s="1">
        <v>0</v>
      </c>
      <c r="G126" s="1">
        <v>0</v>
      </c>
      <c r="H126" s="1">
        <v>0</v>
      </c>
      <c r="I126" s="4">
        <v>0</v>
      </c>
      <c r="J126" s="4">
        <v>0</v>
      </c>
      <c r="K126" s="4">
        <v>0</v>
      </c>
      <c r="L126" s="5">
        <v>0</v>
      </c>
      <c r="M126" s="5">
        <v>0</v>
      </c>
      <c r="N126" s="5">
        <v>0</v>
      </c>
      <c r="O126" s="8">
        <v>0</v>
      </c>
      <c r="P126" s="8">
        <v>10</v>
      </c>
      <c r="Q126" s="8">
        <v>10</v>
      </c>
      <c r="R126" s="1">
        <v>69.900000000000006</v>
      </c>
      <c r="T126" s="1" t="s">
        <v>17</v>
      </c>
      <c r="U126" s="1">
        <f t="shared" si="6"/>
        <v>69.900000000000006</v>
      </c>
    </row>
    <row r="127" spans="1:21" x14ac:dyDescent="0.2">
      <c r="A127" s="1">
        <v>2025</v>
      </c>
      <c r="B127" s="2">
        <v>45759</v>
      </c>
      <c r="C127" s="3">
        <v>0</v>
      </c>
      <c r="D127" s="3">
        <v>7.5</v>
      </c>
      <c r="E127" s="3">
        <v>7.5</v>
      </c>
      <c r="F127" s="1">
        <v>0</v>
      </c>
      <c r="G127" s="1">
        <v>0</v>
      </c>
      <c r="H127" s="1">
        <v>0</v>
      </c>
      <c r="I127" s="4">
        <v>0</v>
      </c>
      <c r="J127" s="4">
        <v>0</v>
      </c>
      <c r="K127" s="4">
        <v>0</v>
      </c>
      <c r="L127" s="5">
        <v>0</v>
      </c>
      <c r="M127" s="5">
        <v>0</v>
      </c>
      <c r="N127" s="5">
        <v>0</v>
      </c>
      <c r="O127" s="8">
        <v>0</v>
      </c>
      <c r="P127" s="8">
        <v>8</v>
      </c>
      <c r="Q127" s="8">
        <v>8</v>
      </c>
      <c r="R127" s="1">
        <v>52.5</v>
      </c>
      <c r="T127" s="1" t="s">
        <v>17</v>
      </c>
      <c r="U127" s="1">
        <f t="shared" si="6"/>
        <v>52.5</v>
      </c>
    </row>
    <row r="128" spans="1:21" x14ac:dyDescent="0.2">
      <c r="A128" s="1">
        <v>2025</v>
      </c>
      <c r="B128" s="2">
        <v>45760</v>
      </c>
      <c r="C128" s="3">
        <v>0</v>
      </c>
      <c r="D128" s="3">
        <v>14</v>
      </c>
      <c r="E128" s="3">
        <v>14</v>
      </c>
      <c r="F128" s="1">
        <v>0</v>
      </c>
      <c r="G128" s="1">
        <v>0</v>
      </c>
      <c r="H128" s="1">
        <v>0</v>
      </c>
      <c r="I128" s="4">
        <v>0</v>
      </c>
      <c r="J128" s="4">
        <v>0</v>
      </c>
      <c r="K128" s="4">
        <v>0</v>
      </c>
      <c r="L128" s="5">
        <v>0</v>
      </c>
      <c r="M128" s="5">
        <v>0</v>
      </c>
      <c r="N128" s="5">
        <v>0</v>
      </c>
      <c r="O128" s="8">
        <v>0</v>
      </c>
      <c r="P128" s="8">
        <v>14</v>
      </c>
      <c r="Q128" s="8">
        <v>14</v>
      </c>
      <c r="R128" s="1">
        <v>42.3</v>
      </c>
      <c r="T128" s="1" t="s">
        <v>17</v>
      </c>
      <c r="U128" s="1">
        <f t="shared" si="6"/>
        <v>42.3</v>
      </c>
    </row>
    <row r="129" spans="1:21" x14ac:dyDescent="0.2">
      <c r="A129" s="1">
        <v>2025</v>
      </c>
      <c r="B129" s="2">
        <v>45761</v>
      </c>
      <c r="C129" s="3">
        <v>0</v>
      </c>
      <c r="D129" s="3">
        <v>9.5</v>
      </c>
      <c r="E129" s="3">
        <v>9.5</v>
      </c>
      <c r="F129" s="1">
        <v>0</v>
      </c>
      <c r="G129" s="1">
        <v>0</v>
      </c>
      <c r="H129" s="1">
        <v>0</v>
      </c>
      <c r="I129" s="4">
        <v>0</v>
      </c>
      <c r="J129" s="4">
        <v>0</v>
      </c>
      <c r="K129" s="4">
        <v>0</v>
      </c>
      <c r="L129" s="5">
        <v>0</v>
      </c>
      <c r="M129" s="5">
        <v>0</v>
      </c>
      <c r="N129" s="5">
        <v>0</v>
      </c>
      <c r="O129" s="8">
        <v>0</v>
      </c>
      <c r="P129" s="8">
        <v>10</v>
      </c>
      <c r="Q129" s="8">
        <v>10</v>
      </c>
      <c r="R129" s="1">
        <v>35.700000000000003</v>
      </c>
      <c r="T129" s="1" t="s">
        <v>17</v>
      </c>
      <c r="U129" s="1">
        <f t="shared" si="6"/>
        <v>35.700000000000003</v>
      </c>
    </row>
    <row r="130" spans="1:21" x14ac:dyDescent="0.2">
      <c r="A130" s="1">
        <v>2025</v>
      </c>
      <c r="B130" s="2">
        <v>45762</v>
      </c>
      <c r="C130" s="3">
        <v>0</v>
      </c>
      <c r="D130" s="3">
        <v>18</v>
      </c>
      <c r="E130" s="3">
        <v>18</v>
      </c>
      <c r="F130" s="1">
        <v>0</v>
      </c>
      <c r="G130" s="1">
        <v>21</v>
      </c>
      <c r="H130" s="1">
        <v>21</v>
      </c>
      <c r="I130" s="4">
        <v>0</v>
      </c>
      <c r="J130" s="4">
        <v>0</v>
      </c>
      <c r="K130" s="4">
        <v>0</v>
      </c>
      <c r="L130" s="5">
        <v>0</v>
      </c>
      <c r="M130" s="5">
        <v>0</v>
      </c>
      <c r="N130" s="5">
        <v>0</v>
      </c>
      <c r="O130" s="8">
        <v>0</v>
      </c>
      <c r="P130" s="8">
        <v>18</v>
      </c>
      <c r="Q130" s="8">
        <v>18</v>
      </c>
      <c r="R130" s="1">
        <v>31.2</v>
      </c>
      <c r="T130" s="1" t="s">
        <v>17</v>
      </c>
      <c r="U130" s="1">
        <f t="shared" si="6"/>
        <v>31.2</v>
      </c>
    </row>
    <row r="131" spans="1:21" x14ac:dyDescent="0.2">
      <c r="A131" s="1">
        <v>2025</v>
      </c>
      <c r="B131" s="2">
        <v>45763</v>
      </c>
      <c r="C131" s="3">
        <v>0</v>
      </c>
      <c r="D131" s="3">
        <v>1</v>
      </c>
      <c r="E131" s="3">
        <v>1</v>
      </c>
      <c r="F131" s="1">
        <v>0</v>
      </c>
      <c r="G131" s="1">
        <v>1</v>
      </c>
      <c r="H131" s="1">
        <v>1</v>
      </c>
      <c r="I131" s="4">
        <v>0</v>
      </c>
      <c r="J131" s="4">
        <v>0</v>
      </c>
      <c r="K131" s="4">
        <v>0</v>
      </c>
      <c r="L131" s="5">
        <v>0</v>
      </c>
      <c r="M131" s="5">
        <v>0</v>
      </c>
      <c r="N131" s="5">
        <v>0</v>
      </c>
      <c r="O131" s="8">
        <v>0</v>
      </c>
      <c r="P131" s="8">
        <v>1</v>
      </c>
      <c r="Q131" s="8">
        <v>1</v>
      </c>
      <c r="R131" s="1">
        <v>27.7</v>
      </c>
      <c r="T131" s="1" t="s">
        <v>17</v>
      </c>
      <c r="U131" s="1">
        <f t="shared" si="6"/>
        <v>27.7</v>
      </c>
    </row>
    <row r="132" spans="1:21" x14ac:dyDescent="0.2">
      <c r="A132" s="1">
        <v>2025</v>
      </c>
      <c r="B132" s="2">
        <v>45764</v>
      </c>
      <c r="C132" s="3">
        <v>2</v>
      </c>
      <c r="D132" s="3">
        <v>14</v>
      </c>
      <c r="E132" s="3">
        <v>16</v>
      </c>
      <c r="F132" s="1">
        <v>2</v>
      </c>
      <c r="G132" s="1">
        <v>14</v>
      </c>
      <c r="H132" s="1">
        <v>16</v>
      </c>
      <c r="I132" s="4">
        <v>0</v>
      </c>
      <c r="J132" s="4">
        <v>0</v>
      </c>
      <c r="K132" s="4">
        <v>0</v>
      </c>
      <c r="L132" s="5">
        <v>0</v>
      </c>
      <c r="M132" s="5">
        <v>0</v>
      </c>
      <c r="N132" s="5">
        <v>0</v>
      </c>
      <c r="O132" s="8">
        <v>2</v>
      </c>
      <c r="P132" s="8">
        <v>14</v>
      </c>
      <c r="Q132" s="8">
        <v>16</v>
      </c>
      <c r="R132" s="1">
        <v>24.4</v>
      </c>
      <c r="T132" s="1" t="s">
        <v>17</v>
      </c>
      <c r="U132" s="1">
        <f t="shared" si="6"/>
        <v>24.4</v>
      </c>
    </row>
    <row r="133" spans="1:21" x14ac:dyDescent="0.2">
      <c r="A133" s="1">
        <v>2025</v>
      </c>
      <c r="B133" s="2">
        <v>45765</v>
      </c>
      <c r="C133" s="3">
        <v>0</v>
      </c>
      <c r="D133" s="3">
        <v>7</v>
      </c>
      <c r="E133" s="3">
        <v>7</v>
      </c>
      <c r="F133" s="1">
        <v>0</v>
      </c>
      <c r="G133" s="1">
        <v>0</v>
      </c>
      <c r="H133" s="1">
        <v>0</v>
      </c>
      <c r="I133" s="4">
        <v>0</v>
      </c>
      <c r="J133" s="4">
        <v>0</v>
      </c>
      <c r="K133" s="4">
        <v>0</v>
      </c>
      <c r="L133" s="5">
        <v>0</v>
      </c>
      <c r="M133" s="5">
        <v>0</v>
      </c>
      <c r="N133" s="5">
        <v>0</v>
      </c>
      <c r="O133" s="8">
        <v>0</v>
      </c>
      <c r="P133" s="8">
        <v>7</v>
      </c>
      <c r="Q133" s="8">
        <v>7</v>
      </c>
      <c r="R133" s="1">
        <v>21.5</v>
      </c>
      <c r="T133" s="1" t="s">
        <v>17</v>
      </c>
      <c r="U133" s="1">
        <f t="shared" si="6"/>
        <v>21.5</v>
      </c>
    </row>
    <row r="134" spans="1:21" x14ac:dyDescent="0.2">
      <c r="A134" s="1">
        <v>2025</v>
      </c>
      <c r="B134" s="2">
        <v>45766</v>
      </c>
      <c r="C134" s="3">
        <v>0.33333333333333298</v>
      </c>
      <c r="D134" s="3">
        <v>10.5</v>
      </c>
      <c r="E134" s="3">
        <v>10.8333333333333</v>
      </c>
      <c r="F134" s="1">
        <v>0</v>
      </c>
      <c r="G134" s="1">
        <v>0</v>
      </c>
      <c r="H134" s="1">
        <v>0</v>
      </c>
      <c r="I134" s="4">
        <v>0</v>
      </c>
      <c r="J134" s="4">
        <v>0</v>
      </c>
      <c r="K134" s="4">
        <v>0</v>
      </c>
      <c r="L134" s="5">
        <v>0</v>
      </c>
      <c r="M134" s="5">
        <v>0</v>
      </c>
      <c r="N134" s="5">
        <v>0</v>
      </c>
      <c r="O134" s="8">
        <v>0</v>
      </c>
      <c r="P134" s="8">
        <v>10</v>
      </c>
      <c r="Q134" s="8">
        <v>11</v>
      </c>
      <c r="R134" s="1">
        <v>19.5</v>
      </c>
      <c r="T134" s="1" t="s">
        <v>17</v>
      </c>
      <c r="U134" s="1">
        <f t="shared" si="6"/>
        <v>19.5</v>
      </c>
    </row>
    <row r="135" spans="1:21" x14ac:dyDescent="0.2">
      <c r="A135" s="1">
        <v>2025</v>
      </c>
      <c r="B135" s="2">
        <v>45767</v>
      </c>
      <c r="C135" s="3">
        <v>0.66666666666666696</v>
      </c>
      <c r="D135" s="3">
        <v>10.5</v>
      </c>
      <c r="E135" s="3">
        <v>11.1666666666667</v>
      </c>
      <c r="F135" s="1">
        <v>0</v>
      </c>
      <c r="G135" s="1">
        <v>0</v>
      </c>
      <c r="H135" s="1">
        <v>0</v>
      </c>
      <c r="I135" s="4">
        <v>0</v>
      </c>
      <c r="J135" s="4">
        <v>0</v>
      </c>
      <c r="K135" s="4">
        <v>0</v>
      </c>
      <c r="L135" s="5">
        <v>0</v>
      </c>
      <c r="M135" s="5">
        <v>0</v>
      </c>
      <c r="N135" s="5">
        <v>0</v>
      </c>
      <c r="O135" s="8">
        <v>1</v>
      </c>
      <c r="P135" s="8">
        <v>10</v>
      </c>
      <c r="Q135" s="8">
        <v>11</v>
      </c>
      <c r="R135" s="1">
        <v>17.600000000000001</v>
      </c>
      <c r="T135" s="1" t="s">
        <v>17</v>
      </c>
      <c r="U135" s="1">
        <f t="shared" si="6"/>
        <v>17.600000000000001</v>
      </c>
    </row>
    <row r="136" spans="1:21" x14ac:dyDescent="0.2">
      <c r="A136" s="1">
        <v>2025</v>
      </c>
      <c r="B136" s="2">
        <v>45768</v>
      </c>
      <c r="C136" s="3">
        <v>1</v>
      </c>
      <c r="D136" s="3">
        <v>234.5</v>
      </c>
      <c r="E136" s="3">
        <v>235.5</v>
      </c>
      <c r="F136" s="1">
        <v>0</v>
      </c>
      <c r="G136" s="1">
        <v>0</v>
      </c>
      <c r="H136" s="1">
        <v>0</v>
      </c>
      <c r="I136" s="4">
        <v>0</v>
      </c>
      <c r="J136" s="4">
        <v>0</v>
      </c>
      <c r="K136" s="4">
        <v>0</v>
      </c>
      <c r="L136" s="5">
        <v>0</v>
      </c>
      <c r="M136" s="5">
        <v>0</v>
      </c>
      <c r="N136" s="5">
        <v>0</v>
      </c>
      <c r="O136" s="8">
        <v>1</v>
      </c>
      <c r="P136" s="8">
        <v>234</v>
      </c>
      <c r="Q136" s="8">
        <v>236</v>
      </c>
      <c r="R136" s="1">
        <v>16</v>
      </c>
      <c r="T136" s="1" t="s">
        <v>17</v>
      </c>
      <c r="U136" s="1">
        <f t="shared" si="6"/>
        <v>16</v>
      </c>
    </row>
    <row r="137" spans="1:21" x14ac:dyDescent="0.2">
      <c r="A137" s="1">
        <v>2025</v>
      </c>
      <c r="B137" s="2">
        <v>45769</v>
      </c>
      <c r="C137" s="3">
        <v>1.3333333333333299</v>
      </c>
      <c r="D137" s="3">
        <v>236.5</v>
      </c>
      <c r="E137" s="3">
        <v>237.833333333333</v>
      </c>
      <c r="F137" s="1">
        <v>0</v>
      </c>
      <c r="G137" s="1">
        <v>0</v>
      </c>
      <c r="H137" s="1">
        <v>0</v>
      </c>
      <c r="I137" s="4">
        <v>0</v>
      </c>
      <c r="J137" s="4">
        <v>0</v>
      </c>
      <c r="K137" s="4">
        <v>0</v>
      </c>
      <c r="L137" s="5">
        <v>0</v>
      </c>
      <c r="M137" s="5">
        <v>0</v>
      </c>
      <c r="N137" s="5">
        <v>0</v>
      </c>
      <c r="O137" s="8">
        <v>1</v>
      </c>
      <c r="P137" s="8">
        <v>236</v>
      </c>
      <c r="Q137" s="8">
        <v>238</v>
      </c>
      <c r="R137" s="1">
        <v>14.4</v>
      </c>
      <c r="T137" s="1" t="s">
        <v>17</v>
      </c>
      <c r="U137" s="1">
        <f t="shared" si="6"/>
        <v>14.4</v>
      </c>
    </row>
    <row r="138" spans="1:21" x14ac:dyDescent="0.2">
      <c r="A138" s="1">
        <v>2025</v>
      </c>
      <c r="B138" s="2">
        <v>45770</v>
      </c>
      <c r="C138" s="3">
        <v>1.6666666666666701</v>
      </c>
      <c r="D138" s="3">
        <v>236.5</v>
      </c>
      <c r="E138" s="3">
        <v>238.166666666667</v>
      </c>
      <c r="F138" s="1">
        <v>0</v>
      </c>
      <c r="G138" s="1">
        <v>0</v>
      </c>
      <c r="H138" s="1">
        <v>0</v>
      </c>
      <c r="I138" s="4">
        <v>0</v>
      </c>
      <c r="J138" s="4">
        <v>0</v>
      </c>
      <c r="K138" s="4">
        <v>0</v>
      </c>
      <c r="L138" s="5">
        <v>0</v>
      </c>
      <c r="M138" s="5">
        <v>0</v>
      </c>
      <c r="N138" s="5">
        <v>0</v>
      </c>
      <c r="O138" s="8">
        <v>2</v>
      </c>
      <c r="P138" s="8">
        <v>236</v>
      </c>
      <c r="Q138" s="8">
        <v>238</v>
      </c>
      <c r="R138" s="1">
        <v>13</v>
      </c>
      <c r="T138" s="1" t="s">
        <v>17</v>
      </c>
      <c r="U138" s="1">
        <f t="shared" si="6"/>
        <v>13</v>
      </c>
    </row>
    <row r="139" spans="1:21" x14ac:dyDescent="0.2">
      <c r="A139" s="1">
        <v>2025</v>
      </c>
      <c r="B139" s="2">
        <v>45771</v>
      </c>
      <c r="C139" s="3">
        <v>2</v>
      </c>
      <c r="D139" s="3">
        <v>462</v>
      </c>
      <c r="E139" s="3">
        <v>464</v>
      </c>
      <c r="F139" s="1">
        <v>2</v>
      </c>
      <c r="G139" s="1">
        <v>448</v>
      </c>
      <c r="H139" s="1">
        <v>450</v>
      </c>
      <c r="I139" s="4">
        <v>0</v>
      </c>
      <c r="J139" s="4">
        <v>0</v>
      </c>
      <c r="K139" s="4">
        <v>0</v>
      </c>
      <c r="L139" s="5">
        <v>0</v>
      </c>
      <c r="M139" s="5">
        <v>0</v>
      </c>
      <c r="N139" s="5">
        <v>0</v>
      </c>
      <c r="O139" s="8">
        <v>2</v>
      </c>
      <c r="P139" s="8">
        <v>462</v>
      </c>
      <c r="Q139" s="8">
        <v>464</v>
      </c>
      <c r="R139" s="1">
        <v>12</v>
      </c>
      <c r="T139" s="1" t="s">
        <v>17</v>
      </c>
      <c r="U139" s="1">
        <f t="shared" si="6"/>
        <v>12</v>
      </c>
    </row>
    <row r="140" spans="1:21" x14ac:dyDescent="0.2">
      <c r="A140" s="1">
        <v>2025</v>
      </c>
      <c r="B140" s="2">
        <v>45772</v>
      </c>
      <c r="C140" s="3">
        <v>0</v>
      </c>
      <c r="D140" s="3">
        <v>11</v>
      </c>
      <c r="E140" s="3">
        <v>11</v>
      </c>
      <c r="F140" s="1">
        <v>0</v>
      </c>
      <c r="G140" s="1">
        <v>0</v>
      </c>
      <c r="H140" s="1">
        <v>0</v>
      </c>
      <c r="I140" s="4">
        <v>0</v>
      </c>
      <c r="J140" s="4">
        <v>0</v>
      </c>
      <c r="K140" s="4">
        <v>0</v>
      </c>
      <c r="L140" s="5">
        <v>0</v>
      </c>
      <c r="M140" s="5">
        <v>0</v>
      </c>
      <c r="N140" s="5">
        <v>0</v>
      </c>
      <c r="O140" s="8">
        <v>0</v>
      </c>
      <c r="P140" s="8">
        <v>11</v>
      </c>
      <c r="Q140" s="8">
        <v>11</v>
      </c>
      <c r="R140" s="1">
        <v>11.3</v>
      </c>
      <c r="T140" s="1" t="s">
        <v>17</v>
      </c>
      <c r="U140" s="1">
        <f t="shared" si="6"/>
        <v>11.3</v>
      </c>
    </row>
    <row r="141" spans="1:21" x14ac:dyDescent="0.2">
      <c r="A141" s="1">
        <v>2025</v>
      </c>
      <c r="B141" s="2">
        <v>45773</v>
      </c>
      <c r="C141" s="3">
        <v>0</v>
      </c>
      <c r="D141" s="3">
        <v>160.666666666667</v>
      </c>
      <c r="E141" s="3">
        <v>160.666666666667</v>
      </c>
      <c r="F141" s="1">
        <v>0</v>
      </c>
      <c r="G141" s="1">
        <v>0</v>
      </c>
      <c r="H141" s="1">
        <v>0</v>
      </c>
      <c r="I141" s="4">
        <v>0</v>
      </c>
      <c r="J141" s="4">
        <v>0</v>
      </c>
      <c r="K141" s="4">
        <v>0</v>
      </c>
      <c r="L141" s="5">
        <v>0</v>
      </c>
      <c r="M141" s="5">
        <v>0</v>
      </c>
      <c r="N141" s="5">
        <v>0</v>
      </c>
      <c r="O141" s="8">
        <v>0</v>
      </c>
      <c r="P141" s="8">
        <v>161</v>
      </c>
      <c r="Q141" s="8">
        <v>161</v>
      </c>
      <c r="R141" s="1">
        <v>10.7</v>
      </c>
      <c r="T141" s="1" t="s">
        <v>17</v>
      </c>
      <c r="U141" s="1">
        <f t="shared" si="6"/>
        <v>10.7</v>
      </c>
    </row>
    <row r="142" spans="1:21" x14ac:dyDescent="0.2">
      <c r="A142" s="1">
        <v>2025</v>
      </c>
      <c r="B142" s="2">
        <v>45774</v>
      </c>
      <c r="C142" s="3">
        <v>0</v>
      </c>
      <c r="D142" s="3">
        <v>21.3333333333333</v>
      </c>
      <c r="E142" s="3">
        <v>21.3333333333333</v>
      </c>
      <c r="F142" s="1">
        <v>0</v>
      </c>
      <c r="G142" s="1">
        <v>0</v>
      </c>
      <c r="H142" s="1">
        <v>0</v>
      </c>
      <c r="I142" s="4">
        <v>0</v>
      </c>
      <c r="J142" s="4">
        <v>0</v>
      </c>
      <c r="K142" s="4">
        <v>0</v>
      </c>
      <c r="L142" s="5">
        <v>0</v>
      </c>
      <c r="M142" s="5">
        <v>0</v>
      </c>
      <c r="N142" s="5">
        <v>0</v>
      </c>
      <c r="O142" s="8">
        <v>0</v>
      </c>
      <c r="P142" s="8">
        <v>21</v>
      </c>
      <c r="Q142" s="8">
        <v>21</v>
      </c>
      <c r="R142" s="1">
        <v>10.1</v>
      </c>
      <c r="T142" s="1" t="s">
        <v>17</v>
      </c>
      <c r="U142" s="1">
        <f t="shared" si="6"/>
        <v>10.1</v>
      </c>
    </row>
    <row r="143" spans="1:21" x14ac:dyDescent="0.2">
      <c r="A143" s="1">
        <v>2025</v>
      </c>
      <c r="B143" s="2">
        <v>45775</v>
      </c>
      <c r="C143" s="3">
        <v>0</v>
      </c>
      <c r="D143" s="3">
        <v>9</v>
      </c>
      <c r="E143" s="3">
        <v>9</v>
      </c>
      <c r="F143" s="1">
        <v>16</v>
      </c>
      <c r="G143" s="1">
        <v>9</v>
      </c>
      <c r="H143" s="1">
        <v>25</v>
      </c>
      <c r="I143" s="4">
        <v>0</v>
      </c>
      <c r="J143" s="4">
        <v>0</v>
      </c>
      <c r="K143" s="4">
        <v>0</v>
      </c>
      <c r="L143" s="5">
        <v>0</v>
      </c>
      <c r="M143" s="5">
        <v>0</v>
      </c>
      <c r="N143" s="5">
        <v>0</v>
      </c>
      <c r="O143" s="8">
        <v>16</v>
      </c>
      <c r="P143" s="8">
        <v>9</v>
      </c>
      <c r="Q143" s="8">
        <v>25</v>
      </c>
      <c r="R143" s="1">
        <v>9.5399999999999991</v>
      </c>
      <c r="T143" s="1" t="s">
        <v>17</v>
      </c>
      <c r="U143" s="1">
        <f t="shared" si="6"/>
        <v>9.5399999999999991</v>
      </c>
    </row>
    <row r="144" spans="1:21" x14ac:dyDescent="0.2">
      <c r="A144" s="1">
        <v>2025</v>
      </c>
      <c r="B144" s="2">
        <v>45776</v>
      </c>
      <c r="C144" s="3">
        <v>0</v>
      </c>
      <c r="D144" s="3">
        <v>44</v>
      </c>
      <c r="E144" s="3">
        <v>44</v>
      </c>
      <c r="F144" s="1">
        <v>68</v>
      </c>
      <c r="G144" s="1">
        <v>45</v>
      </c>
      <c r="H144" s="1">
        <v>113</v>
      </c>
      <c r="I144" s="4">
        <v>0</v>
      </c>
      <c r="J144" s="4">
        <v>0</v>
      </c>
      <c r="K144" s="4">
        <v>0</v>
      </c>
      <c r="L144" s="5">
        <v>0</v>
      </c>
      <c r="M144" s="5">
        <v>0</v>
      </c>
      <c r="N144" s="5">
        <v>0</v>
      </c>
      <c r="O144" s="8">
        <v>69</v>
      </c>
      <c r="P144" s="8">
        <v>44</v>
      </c>
      <c r="Q144" s="8">
        <v>113</v>
      </c>
      <c r="R144" s="1">
        <v>9.84</v>
      </c>
      <c r="T144" s="1" t="s">
        <v>17</v>
      </c>
      <c r="U144" s="1">
        <f t="shared" si="6"/>
        <v>9.84</v>
      </c>
    </row>
    <row r="145" spans="1:21" x14ac:dyDescent="0.2">
      <c r="A145" s="1">
        <v>2025</v>
      </c>
      <c r="B145" s="2">
        <v>45777</v>
      </c>
      <c r="C145" s="3">
        <v>3</v>
      </c>
      <c r="D145" s="3">
        <v>20</v>
      </c>
      <c r="E145" s="3">
        <v>23</v>
      </c>
      <c r="F145" s="1">
        <v>25</v>
      </c>
      <c r="G145" s="1">
        <v>22</v>
      </c>
      <c r="H145" s="1">
        <v>47</v>
      </c>
      <c r="I145" s="4">
        <v>0</v>
      </c>
      <c r="J145" s="4">
        <v>0</v>
      </c>
      <c r="K145" s="4">
        <v>0</v>
      </c>
      <c r="L145" s="5">
        <v>0</v>
      </c>
      <c r="M145" s="5">
        <v>0</v>
      </c>
      <c r="N145" s="5">
        <v>0</v>
      </c>
      <c r="O145" s="8">
        <v>26</v>
      </c>
      <c r="P145" s="8">
        <v>20</v>
      </c>
      <c r="Q145" s="8">
        <v>46</v>
      </c>
      <c r="R145" s="1">
        <v>9.18</v>
      </c>
      <c r="T145" s="1" t="s">
        <v>17</v>
      </c>
      <c r="U145" s="1">
        <f t="shared" si="6"/>
        <v>9.18</v>
      </c>
    </row>
    <row r="146" spans="1:21" x14ac:dyDescent="0.2">
      <c r="A146" s="1">
        <v>2025</v>
      </c>
      <c r="B146" s="2">
        <v>45778</v>
      </c>
      <c r="C146" s="3">
        <v>7</v>
      </c>
      <c r="D146" s="3">
        <v>95.6666666666667</v>
      </c>
      <c r="E146" s="3">
        <v>102.666666666667</v>
      </c>
      <c r="F146" s="1">
        <v>140</v>
      </c>
      <c r="G146" s="1">
        <v>107</v>
      </c>
      <c r="H146" s="1">
        <v>247</v>
      </c>
      <c r="I146" s="4">
        <v>0</v>
      </c>
      <c r="J146" s="4">
        <v>0</v>
      </c>
      <c r="K146" s="4">
        <v>0</v>
      </c>
      <c r="L146" s="5">
        <v>0</v>
      </c>
      <c r="M146" s="5">
        <v>0</v>
      </c>
      <c r="N146" s="5">
        <v>0</v>
      </c>
      <c r="O146" s="8">
        <v>7</v>
      </c>
      <c r="P146" s="8">
        <v>96</v>
      </c>
      <c r="Q146" s="8">
        <v>103</v>
      </c>
      <c r="R146" s="1">
        <v>8.43</v>
      </c>
      <c r="T146" s="1" t="s">
        <v>17</v>
      </c>
      <c r="U146" s="1">
        <f t="shared" si="6"/>
        <v>8.43</v>
      </c>
    </row>
    <row r="147" spans="1:21" x14ac:dyDescent="0.2">
      <c r="A147" s="1">
        <v>2025</v>
      </c>
      <c r="B147" s="2">
        <v>45779</v>
      </c>
      <c r="C147" s="3">
        <v>11</v>
      </c>
      <c r="D147" s="3">
        <v>223</v>
      </c>
      <c r="E147" s="3">
        <v>234</v>
      </c>
      <c r="F147" s="1">
        <v>0</v>
      </c>
      <c r="G147" s="1">
        <v>0</v>
      </c>
      <c r="H147" s="1">
        <v>0</v>
      </c>
      <c r="I147" s="4">
        <v>0</v>
      </c>
      <c r="J147" s="4">
        <v>0</v>
      </c>
      <c r="K147" s="4">
        <v>0</v>
      </c>
      <c r="L147" s="5">
        <v>0</v>
      </c>
      <c r="M147" s="5">
        <v>0</v>
      </c>
      <c r="N147" s="5">
        <v>0</v>
      </c>
      <c r="O147" s="8">
        <v>124</v>
      </c>
      <c r="P147" s="8">
        <v>223</v>
      </c>
      <c r="Q147" s="8">
        <v>347</v>
      </c>
      <c r="R147" s="1">
        <v>8.15</v>
      </c>
      <c r="T147" s="1" t="s">
        <v>17</v>
      </c>
      <c r="U147" s="1">
        <f t="shared" ref="U147:U158" si="7">R147</f>
        <v>8.15</v>
      </c>
    </row>
    <row r="148" spans="1:21" x14ac:dyDescent="0.2">
      <c r="A148" s="1">
        <v>2025</v>
      </c>
      <c r="B148" s="2">
        <v>45780</v>
      </c>
      <c r="C148" s="3">
        <v>9</v>
      </c>
      <c r="D148" s="3">
        <v>139</v>
      </c>
      <c r="E148" s="3">
        <v>148</v>
      </c>
      <c r="F148" s="1">
        <v>0</v>
      </c>
      <c r="G148" s="1">
        <v>0</v>
      </c>
      <c r="H148" s="1">
        <v>0</v>
      </c>
      <c r="I148" s="4">
        <v>0</v>
      </c>
      <c r="J148" s="4">
        <v>0</v>
      </c>
      <c r="K148" s="4">
        <v>0</v>
      </c>
      <c r="L148" s="5">
        <v>0</v>
      </c>
      <c r="M148" s="5">
        <v>0</v>
      </c>
      <c r="N148" s="5">
        <v>0</v>
      </c>
      <c r="O148" s="8">
        <v>9</v>
      </c>
      <c r="P148" s="8">
        <v>139</v>
      </c>
      <c r="Q148" s="8">
        <v>148</v>
      </c>
      <c r="R148" s="1">
        <v>8.08</v>
      </c>
      <c r="T148" s="1" t="s">
        <v>17</v>
      </c>
      <c r="U148" s="1">
        <f t="shared" si="7"/>
        <v>8.08</v>
      </c>
    </row>
    <row r="149" spans="1:21" x14ac:dyDescent="0.2">
      <c r="A149" s="1">
        <v>2025</v>
      </c>
      <c r="B149" s="2">
        <v>45781</v>
      </c>
      <c r="C149" s="3">
        <v>7</v>
      </c>
      <c r="D149" s="3">
        <v>101.333333333333</v>
      </c>
      <c r="E149" s="3">
        <v>108.333333333333</v>
      </c>
      <c r="F149" s="1">
        <v>0</v>
      </c>
      <c r="G149" s="1">
        <v>0</v>
      </c>
      <c r="H149" s="1">
        <v>0</v>
      </c>
      <c r="I149" s="4">
        <v>0</v>
      </c>
      <c r="J149" s="4">
        <v>0</v>
      </c>
      <c r="K149" s="4">
        <v>0</v>
      </c>
      <c r="L149" s="5">
        <v>0</v>
      </c>
      <c r="M149" s="5">
        <v>0</v>
      </c>
      <c r="N149" s="5">
        <v>0</v>
      </c>
      <c r="O149" s="8">
        <v>7</v>
      </c>
      <c r="P149" s="8">
        <v>101</v>
      </c>
      <c r="Q149" s="8">
        <v>108</v>
      </c>
      <c r="R149" s="1">
        <v>7.43</v>
      </c>
      <c r="T149" s="1" t="s">
        <v>17</v>
      </c>
      <c r="U149" s="1">
        <f t="shared" si="7"/>
        <v>7.43</v>
      </c>
    </row>
    <row r="150" spans="1:21" x14ac:dyDescent="0.2">
      <c r="A150" s="1">
        <v>2025</v>
      </c>
      <c r="B150" s="2">
        <v>45782</v>
      </c>
      <c r="C150" s="3">
        <v>5</v>
      </c>
      <c r="D150" s="3">
        <v>55</v>
      </c>
      <c r="E150" s="3">
        <v>60</v>
      </c>
      <c r="F150" s="1">
        <v>14</v>
      </c>
      <c r="G150" s="1">
        <v>55</v>
      </c>
      <c r="H150" s="1">
        <v>69</v>
      </c>
      <c r="I150" s="4">
        <v>0</v>
      </c>
      <c r="J150" s="4">
        <v>0</v>
      </c>
      <c r="K150" s="4">
        <v>0</v>
      </c>
      <c r="L150" s="5">
        <v>0</v>
      </c>
      <c r="M150" s="5">
        <v>0</v>
      </c>
      <c r="N150" s="5">
        <v>0</v>
      </c>
      <c r="O150" s="8">
        <v>14</v>
      </c>
      <c r="P150" s="8">
        <v>55</v>
      </c>
      <c r="Q150" s="8">
        <v>69</v>
      </c>
      <c r="R150" s="1">
        <v>6.88</v>
      </c>
      <c r="T150" s="1" t="s">
        <v>17</v>
      </c>
      <c r="U150" s="1">
        <f t="shared" si="7"/>
        <v>6.88</v>
      </c>
    </row>
    <row r="151" spans="1:21" x14ac:dyDescent="0.2">
      <c r="A151" s="1">
        <v>2025</v>
      </c>
      <c r="B151" s="2">
        <v>45783</v>
      </c>
      <c r="C151" s="3">
        <v>7</v>
      </c>
      <c r="D151" s="3">
        <v>26</v>
      </c>
      <c r="E151" s="3">
        <v>33</v>
      </c>
      <c r="F151" s="1">
        <v>105</v>
      </c>
      <c r="G151" s="1">
        <v>40</v>
      </c>
      <c r="H151" s="1">
        <v>145</v>
      </c>
      <c r="I151" s="4">
        <v>0</v>
      </c>
      <c r="J151" s="4">
        <v>0</v>
      </c>
      <c r="K151" s="4">
        <v>0</v>
      </c>
      <c r="L151" s="5">
        <v>0</v>
      </c>
      <c r="M151" s="5">
        <v>0</v>
      </c>
      <c r="N151" s="5">
        <v>0</v>
      </c>
      <c r="O151" s="8">
        <v>110</v>
      </c>
      <c r="P151" s="8">
        <v>26</v>
      </c>
      <c r="Q151" s="8">
        <v>136</v>
      </c>
      <c r="R151" s="1">
        <v>6.41</v>
      </c>
      <c r="T151" s="1" t="s">
        <v>17</v>
      </c>
      <c r="U151" s="1">
        <f t="shared" si="7"/>
        <v>6.41</v>
      </c>
    </row>
    <row r="152" spans="1:21" x14ac:dyDescent="0.2">
      <c r="A152" s="1">
        <v>2025</v>
      </c>
      <c r="B152" s="2">
        <v>45784</v>
      </c>
      <c r="C152" s="3">
        <v>4</v>
      </c>
      <c r="D152" s="3">
        <v>13</v>
      </c>
      <c r="E152" s="3">
        <v>17</v>
      </c>
      <c r="F152" s="1">
        <v>0</v>
      </c>
      <c r="G152" s="1">
        <v>0</v>
      </c>
      <c r="H152" s="1">
        <v>0</v>
      </c>
      <c r="I152" s="4">
        <v>0</v>
      </c>
      <c r="J152" s="4">
        <v>0</v>
      </c>
      <c r="K152" s="4">
        <v>0</v>
      </c>
      <c r="L152" s="5">
        <v>0</v>
      </c>
      <c r="M152" s="5">
        <v>0</v>
      </c>
      <c r="N152" s="5">
        <v>0</v>
      </c>
      <c r="O152" s="8">
        <v>6</v>
      </c>
      <c r="P152" s="8">
        <v>13</v>
      </c>
      <c r="Q152" s="8">
        <v>19</v>
      </c>
      <c r="R152" s="1">
        <v>6.09</v>
      </c>
      <c r="T152" s="1" t="s">
        <v>17</v>
      </c>
      <c r="U152" s="1">
        <f t="shared" si="7"/>
        <v>6.09</v>
      </c>
    </row>
    <row r="153" spans="1:21" x14ac:dyDescent="0.2">
      <c r="A153" s="1">
        <v>2025</v>
      </c>
      <c r="B153" s="2">
        <v>45785</v>
      </c>
      <c r="C153" s="3">
        <v>1</v>
      </c>
      <c r="D153" s="3">
        <v>3</v>
      </c>
      <c r="E153" s="3">
        <v>4</v>
      </c>
      <c r="F153" s="1">
        <v>0</v>
      </c>
      <c r="G153" s="1">
        <v>8</v>
      </c>
      <c r="H153" s="1">
        <v>8</v>
      </c>
      <c r="I153" s="4">
        <v>0</v>
      </c>
      <c r="J153" s="4">
        <v>0</v>
      </c>
      <c r="K153" s="4">
        <v>0</v>
      </c>
      <c r="L153" s="5">
        <v>0</v>
      </c>
      <c r="M153" s="5">
        <v>0</v>
      </c>
      <c r="N153" s="5">
        <v>0</v>
      </c>
      <c r="O153" s="8">
        <v>3</v>
      </c>
      <c r="P153" s="8">
        <v>3</v>
      </c>
      <c r="Q153" s="8">
        <v>6</v>
      </c>
      <c r="R153" s="1">
        <v>5.75</v>
      </c>
      <c r="T153" s="1" t="s">
        <v>17</v>
      </c>
      <c r="U153" s="1">
        <f t="shared" si="7"/>
        <v>5.75</v>
      </c>
    </row>
    <row r="154" spans="1:21" x14ac:dyDescent="0.2">
      <c r="A154" s="1">
        <v>2025</v>
      </c>
      <c r="B154" s="2">
        <v>45786</v>
      </c>
      <c r="C154" s="3">
        <v>0</v>
      </c>
      <c r="D154" s="3">
        <v>2</v>
      </c>
      <c r="E154" s="3">
        <v>2</v>
      </c>
      <c r="F154" s="1">
        <v>0</v>
      </c>
      <c r="G154" s="1">
        <v>8</v>
      </c>
      <c r="H154" s="1">
        <v>8</v>
      </c>
      <c r="I154" s="4">
        <v>0</v>
      </c>
      <c r="J154" s="4">
        <v>0</v>
      </c>
      <c r="K154" s="4">
        <v>0</v>
      </c>
      <c r="L154" s="5">
        <v>0</v>
      </c>
      <c r="M154" s="5">
        <v>0</v>
      </c>
      <c r="N154" s="5">
        <v>0</v>
      </c>
      <c r="O154" s="8">
        <v>1</v>
      </c>
      <c r="P154" s="8">
        <v>2</v>
      </c>
      <c r="Q154" s="8">
        <v>3</v>
      </c>
      <c r="R154" s="1">
        <v>5.38</v>
      </c>
      <c r="T154" s="1" t="s">
        <v>17</v>
      </c>
      <c r="U154" s="1">
        <f t="shared" si="7"/>
        <v>5.38</v>
      </c>
    </row>
    <row r="155" spans="1:21" x14ac:dyDescent="0.2">
      <c r="A155" s="1">
        <v>2025</v>
      </c>
      <c r="B155" s="2">
        <v>45787</v>
      </c>
      <c r="C155" s="3">
        <v>0.75</v>
      </c>
      <c r="D155" s="3">
        <v>2.5</v>
      </c>
      <c r="E155" s="3">
        <v>3.25</v>
      </c>
      <c r="F155" s="1">
        <v>0</v>
      </c>
      <c r="G155" s="1">
        <v>0</v>
      </c>
      <c r="H155" s="1">
        <v>0</v>
      </c>
      <c r="I155" s="4">
        <v>0</v>
      </c>
      <c r="J155" s="4">
        <v>0</v>
      </c>
      <c r="K155" s="4">
        <v>0</v>
      </c>
      <c r="L155" s="5">
        <v>0</v>
      </c>
      <c r="M155" s="5">
        <v>0</v>
      </c>
      <c r="N155" s="5">
        <v>0</v>
      </c>
      <c r="O155" s="8">
        <v>1</v>
      </c>
      <c r="P155" s="8">
        <v>2</v>
      </c>
      <c r="Q155" s="8">
        <v>3</v>
      </c>
      <c r="R155" s="1">
        <v>5.07</v>
      </c>
      <c r="T155" s="1" t="s">
        <v>17</v>
      </c>
      <c r="U155" s="1">
        <f t="shared" si="7"/>
        <v>5.07</v>
      </c>
    </row>
    <row r="156" spans="1:21" x14ac:dyDescent="0.2">
      <c r="A156" s="1">
        <v>2025</v>
      </c>
      <c r="B156" s="2">
        <v>45788</v>
      </c>
      <c r="C156" s="3">
        <v>1.5</v>
      </c>
      <c r="D156" s="3">
        <v>7.5</v>
      </c>
      <c r="E156" s="3">
        <v>9</v>
      </c>
      <c r="F156" s="1">
        <v>0</v>
      </c>
      <c r="G156" s="1">
        <v>0</v>
      </c>
      <c r="H156" s="1">
        <v>0</v>
      </c>
      <c r="I156" s="4">
        <v>0</v>
      </c>
      <c r="J156" s="4">
        <v>0</v>
      </c>
      <c r="K156" s="4">
        <v>0</v>
      </c>
      <c r="L156" s="5">
        <v>0</v>
      </c>
      <c r="M156" s="5">
        <v>0</v>
      </c>
      <c r="N156" s="5">
        <v>0</v>
      </c>
      <c r="O156" s="8">
        <v>2</v>
      </c>
      <c r="P156" s="8">
        <v>8</v>
      </c>
      <c r="Q156" s="8">
        <v>9</v>
      </c>
      <c r="R156" s="1">
        <v>4.91</v>
      </c>
      <c r="T156" s="1" t="s">
        <v>17</v>
      </c>
      <c r="U156" s="1">
        <f t="shared" si="7"/>
        <v>4.91</v>
      </c>
    </row>
    <row r="157" spans="1:21" x14ac:dyDescent="0.2">
      <c r="A157" s="1">
        <v>2025</v>
      </c>
      <c r="B157" s="2">
        <v>45789</v>
      </c>
      <c r="C157" s="3">
        <v>2.25</v>
      </c>
      <c r="D157" s="3">
        <v>14.5</v>
      </c>
      <c r="E157" s="3">
        <v>16.75</v>
      </c>
      <c r="F157" s="1">
        <v>0</v>
      </c>
      <c r="G157" s="1">
        <v>0</v>
      </c>
      <c r="H157" s="1">
        <v>0</v>
      </c>
      <c r="I157" s="4">
        <v>0</v>
      </c>
      <c r="J157" s="4">
        <v>0</v>
      </c>
      <c r="K157" s="4">
        <v>0</v>
      </c>
      <c r="L157" s="5">
        <v>0</v>
      </c>
      <c r="M157" s="5">
        <v>0</v>
      </c>
      <c r="N157" s="5">
        <v>0</v>
      </c>
      <c r="O157" s="8">
        <v>2</v>
      </c>
      <c r="P157" s="8">
        <v>14</v>
      </c>
      <c r="Q157" s="8">
        <v>17</v>
      </c>
      <c r="R157" s="1">
        <v>4.7</v>
      </c>
      <c r="T157" s="1" t="s">
        <v>17</v>
      </c>
      <c r="U157" s="1">
        <f t="shared" si="7"/>
        <v>4.7</v>
      </c>
    </row>
    <row r="158" spans="1:21" x14ac:dyDescent="0.2">
      <c r="A158" s="1">
        <v>2025</v>
      </c>
      <c r="B158" s="2">
        <v>45790</v>
      </c>
      <c r="C158" s="3">
        <v>3</v>
      </c>
      <c r="D158" s="3">
        <v>13</v>
      </c>
      <c r="E158" s="3">
        <v>16</v>
      </c>
      <c r="F158" s="1">
        <v>113</v>
      </c>
      <c r="G158" s="1">
        <v>17</v>
      </c>
      <c r="H158" s="1">
        <v>130</v>
      </c>
      <c r="I158" s="4">
        <v>0</v>
      </c>
      <c r="J158" s="4">
        <v>0</v>
      </c>
      <c r="K158" s="4">
        <v>0</v>
      </c>
      <c r="L158" s="5">
        <v>0</v>
      </c>
      <c r="M158" s="5">
        <v>0</v>
      </c>
      <c r="N158" s="5">
        <v>0</v>
      </c>
      <c r="O158" s="8">
        <v>132</v>
      </c>
      <c r="P158" s="8">
        <v>13</v>
      </c>
      <c r="Q158" s="8">
        <v>145</v>
      </c>
      <c r="R158" s="1">
        <v>4.45</v>
      </c>
      <c r="T158" s="1" t="s">
        <v>17</v>
      </c>
      <c r="U158" s="1">
        <f t="shared" si="7"/>
        <v>4.45</v>
      </c>
    </row>
    <row r="159" spans="1:21" x14ac:dyDescent="0.2">
      <c r="A159" s="1">
        <v>2025</v>
      </c>
      <c r="B159" s="2">
        <v>45791</v>
      </c>
      <c r="C159" s="3">
        <v>2</v>
      </c>
      <c r="D159" s="3">
        <v>16</v>
      </c>
      <c r="E159" s="3">
        <v>18</v>
      </c>
      <c r="F159" s="1">
        <v>67</v>
      </c>
      <c r="G159" s="1">
        <v>18</v>
      </c>
      <c r="H159" s="1">
        <v>85</v>
      </c>
      <c r="I159" s="4">
        <v>0</v>
      </c>
      <c r="J159" s="4">
        <v>5</v>
      </c>
      <c r="K159" s="4">
        <v>5</v>
      </c>
      <c r="L159" s="5">
        <v>0</v>
      </c>
      <c r="M159" s="5">
        <v>0</v>
      </c>
      <c r="N159" s="5">
        <v>0</v>
      </c>
      <c r="O159" s="8">
        <v>70</v>
      </c>
      <c r="P159" s="8">
        <v>16</v>
      </c>
      <c r="Q159" s="8">
        <v>86</v>
      </c>
      <c r="R159" s="1">
        <v>4.26</v>
      </c>
      <c r="S159" s="7">
        <v>5.8823529411764698E-2</v>
      </c>
      <c r="T159" s="1" t="s">
        <v>21</v>
      </c>
      <c r="U159" s="6">
        <f>AVERAGE($R$159:$R$161)</f>
        <v>4.3933333333333335</v>
      </c>
    </row>
    <row r="160" spans="1:21" x14ac:dyDescent="0.2">
      <c r="A160" s="1">
        <v>2025</v>
      </c>
      <c r="B160" s="2">
        <v>45792</v>
      </c>
      <c r="C160" s="3">
        <v>2.5</v>
      </c>
      <c r="D160" s="3">
        <v>52.6666666666667</v>
      </c>
      <c r="E160" s="3">
        <v>55.1666666666667</v>
      </c>
      <c r="F160" s="1">
        <v>0</v>
      </c>
      <c r="G160" s="1">
        <v>0</v>
      </c>
      <c r="H160" s="1">
        <v>0</v>
      </c>
      <c r="I160" s="4">
        <v>0</v>
      </c>
      <c r="J160" s="4">
        <v>0</v>
      </c>
      <c r="K160" s="4">
        <v>0</v>
      </c>
      <c r="L160" s="5">
        <v>0</v>
      </c>
      <c r="M160" s="5">
        <v>0</v>
      </c>
      <c r="N160" s="5">
        <v>0</v>
      </c>
      <c r="O160" s="8">
        <v>2</v>
      </c>
      <c r="P160" s="8">
        <v>53</v>
      </c>
      <c r="Q160" s="8">
        <v>55</v>
      </c>
      <c r="R160" s="1">
        <v>4.17</v>
      </c>
      <c r="T160" s="1" t="s">
        <v>17</v>
      </c>
      <c r="U160" s="6">
        <f t="shared" ref="U160:U161" si="8">AVERAGE($R$159:$R$161)</f>
        <v>4.3933333333333335</v>
      </c>
    </row>
    <row r="161" spans="1:21" x14ac:dyDescent="0.2">
      <c r="A161" s="1">
        <v>2025</v>
      </c>
      <c r="B161" s="2">
        <v>45793</v>
      </c>
      <c r="C161" s="3">
        <v>3</v>
      </c>
      <c r="D161" s="3">
        <v>129</v>
      </c>
      <c r="E161" s="3">
        <v>132</v>
      </c>
      <c r="F161" s="1">
        <v>0</v>
      </c>
      <c r="G161" s="1">
        <v>0</v>
      </c>
      <c r="H161" s="1">
        <v>0</v>
      </c>
      <c r="I161" s="4">
        <v>0</v>
      </c>
      <c r="J161" s="4">
        <v>0</v>
      </c>
      <c r="K161" s="4">
        <v>0</v>
      </c>
      <c r="L161" s="5">
        <v>0</v>
      </c>
      <c r="M161" s="5">
        <v>5</v>
      </c>
      <c r="N161" s="5">
        <v>5</v>
      </c>
      <c r="O161" s="8">
        <v>84</v>
      </c>
      <c r="P161" s="8">
        <v>134</v>
      </c>
      <c r="Q161" s="8">
        <v>218</v>
      </c>
      <c r="R161" s="1">
        <v>4.75</v>
      </c>
      <c r="T161" s="1" t="s">
        <v>17</v>
      </c>
      <c r="U161" s="6">
        <f t="shared" si="8"/>
        <v>4.3933333333333335</v>
      </c>
    </row>
    <row r="162" spans="1:21" x14ac:dyDescent="0.2">
      <c r="A162" s="1">
        <v>2025</v>
      </c>
      <c r="B162" s="2">
        <v>45794</v>
      </c>
      <c r="C162" s="3">
        <v>3</v>
      </c>
      <c r="D162" s="3">
        <v>51</v>
      </c>
      <c r="E162" s="3">
        <v>54</v>
      </c>
      <c r="F162" s="1">
        <v>0</v>
      </c>
      <c r="G162" s="1">
        <v>0</v>
      </c>
      <c r="H162" s="1">
        <v>0</v>
      </c>
      <c r="I162" s="4">
        <v>0</v>
      </c>
      <c r="J162" s="4">
        <v>0</v>
      </c>
      <c r="K162" s="4">
        <v>0</v>
      </c>
      <c r="L162" s="5">
        <v>0</v>
      </c>
      <c r="M162" s="5">
        <v>0</v>
      </c>
      <c r="N162" s="5">
        <v>0</v>
      </c>
      <c r="O162" s="8">
        <v>3</v>
      </c>
      <c r="P162" s="8">
        <v>51</v>
      </c>
      <c r="Q162" s="8">
        <v>54</v>
      </c>
      <c r="R162" s="1">
        <v>8.25</v>
      </c>
      <c r="T162" s="1" t="s">
        <v>17</v>
      </c>
      <c r="U162" s="1">
        <f>R162</f>
        <v>8.25</v>
      </c>
    </row>
    <row r="163" spans="1:21" x14ac:dyDescent="0.2">
      <c r="A163" s="1">
        <v>2025</v>
      </c>
      <c r="B163" s="2">
        <v>45795</v>
      </c>
      <c r="C163" s="3">
        <v>3</v>
      </c>
      <c r="D163" s="3">
        <v>68.5</v>
      </c>
      <c r="E163" s="3">
        <v>71.5</v>
      </c>
      <c r="F163" s="1">
        <v>0</v>
      </c>
      <c r="G163" s="1">
        <v>0</v>
      </c>
      <c r="H163" s="1">
        <v>0</v>
      </c>
      <c r="I163" s="4">
        <v>0</v>
      </c>
      <c r="J163" s="4">
        <v>0</v>
      </c>
      <c r="K163" s="4">
        <v>0</v>
      </c>
      <c r="L163" s="5">
        <v>0</v>
      </c>
      <c r="M163" s="5">
        <v>0</v>
      </c>
      <c r="N163" s="5">
        <v>0</v>
      </c>
      <c r="O163" s="8">
        <v>3</v>
      </c>
      <c r="P163" s="8">
        <v>68</v>
      </c>
      <c r="Q163" s="8">
        <v>72</v>
      </c>
      <c r="R163" s="1">
        <v>7.79</v>
      </c>
      <c r="T163" s="1" t="s">
        <v>17</v>
      </c>
      <c r="U163" s="1">
        <f t="shared" ref="U163:U172" si="9">R163</f>
        <v>7.79</v>
      </c>
    </row>
    <row r="164" spans="1:21" x14ac:dyDescent="0.2">
      <c r="A164" s="1">
        <v>2025</v>
      </c>
      <c r="B164" s="2">
        <v>45796</v>
      </c>
      <c r="C164" s="3">
        <v>3</v>
      </c>
      <c r="D164" s="3">
        <v>5.5</v>
      </c>
      <c r="E164" s="3">
        <v>8.5</v>
      </c>
      <c r="F164" s="1">
        <v>0</v>
      </c>
      <c r="G164" s="1">
        <v>0</v>
      </c>
      <c r="H164" s="1">
        <v>0</v>
      </c>
      <c r="I164" s="4">
        <v>0</v>
      </c>
      <c r="J164" s="4">
        <v>0</v>
      </c>
      <c r="K164" s="4">
        <v>0</v>
      </c>
      <c r="L164" s="5">
        <v>0</v>
      </c>
      <c r="M164" s="5">
        <v>0</v>
      </c>
      <c r="N164" s="5">
        <v>0</v>
      </c>
      <c r="O164" s="8">
        <v>3</v>
      </c>
      <c r="P164" s="8">
        <v>6</v>
      </c>
      <c r="Q164" s="8">
        <v>8</v>
      </c>
      <c r="R164" s="1">
        <v>11.1</v>
      </c>
      <c r="T164" s="1" t="s">
        <v>17</v>
      </c>
      <c r="U164" s="1">
        <f t="shared" si="9"/>
        <v>11.1</v>
      </c>
    </row>
    <row r="165" spans="1:21" x14ac:dyDescent="0.2">
      <c r="A165" s="1">
        <v>2025</v>
      </c>
      <c r="B165" s="2">
        <v>45797</v>
      </c>
      <c r="C165" s="3">
        <v>3</v>
      </c>
      <c r="D165" s="3">
        <v>8</v>
      </c>
      <c r="E165" s="3">
        <v>11</v>
      </c>
      <c r="F165" s="1">
        <v>17</v>
      </c>
      <c r="G165" s="1">
        <v>9</v>
      </c>
      <c r="H165" s="1">
        <v>26</v>
      </c>
      <c r="I165" s="4">
        <v>0</v>
      </c>
      <c r="J165" s="4">
        <v>0</v>
      </c>
      <c r="K165" s="4">
        <v>0</v>
      </c>
      <c r="L165" s="5">
        <v>0</v>
      </c>
      <c r="M165" s="5">
        <v>0</v>
      </c>
      <c r="N165" s="5">
        <v>0</v>
      </c>
      <c r="O165" s="8">
        <v>19</v>
      </c>
      <c r="P165" s="8">
        <v>8</v>
      </c>
      <c r="Q165" s="8">
        <v>27</v>
      </c>
      <c r="R165" s="1">
        <v>39.5</v>
      </c>
      <c r="T165" s="1" t="s">
        <v>17</v>
      </c>
      <c r="U165" s="1">
        <f t="shared" si="9"/>
        <v>39.5</v>
      </c>
    </row>
    <row r="166" spans="1:21" x14ac:dyDescent="0.2">
      <c r="A166" s="1">
        <v>2025</v>
      </c>
      <c r="B166" s="2">
        <v>45798</v>
      </c>
      <c r="C166" s="3">
        <v>1</v>
      </c>
      <c r="D166" s="3">
        <v>3</v>
      </c>
      <c r="E166" s="3">
        <v>4</v>
      </c>
      <c r="F166" s="1">
        <v>1</v>
      </c>
      <c r="G166" s="1">
        <v>4</v>
      </c>
      <c r="H166" s="1">
        <v>5</v>
      </c>
      <c r="I166" s="4">
        <v>0</v>
      </c>
      <c r="J166" s="4">
        <v>0</v>
      </c>
      <c r="K166" s="4">
        <v>0</v>
      </c>
      <c r="L166" s="5">
        <v>0</v>
      </c>
      <c r="M166" s="5">
        <v>0</v>
      </c>
      <c r="N166" s="5">
        <v>0</v>
      </c>
      <c r="O166" s="8">
        <v>1</v>
      </c>
      <c r="P166" s="8">
        <v>3</v>
      </c>
      <c r="Q166" s="8">
        <v>4</v>
      </c>
      <c r="R166" s="1">
        <v>25.8</v>
      </c>
      <c r="T166" s="1" t="s">
        <v>17</v>
      </c>
      <c r="U166" s="1">
        <f t="shared" si="9"/>
        <v>25.8</v>
      </c>
    </row>
    <row r="167" spans="1:21" x14ac:dyDescent="0.2">
      <c r="A167" s="1">
        <v>2025</v>
      </c>
      <c r="B167" s="2">
        <v>45799</v>
      </c>
      <c r="C167" s="3">
        <v>0</v>
      </c>
      <c r="D167" s="3">
        <v>4</v>
      </c>
      <c r="E167" s="3">
        <v>4</v>
      </c>
      <c r="F167" s="1">
        <v>0</v>
      </c>
      <c r="G167" s="1">
        <v>4</v>
      </c>
      <c r="H167" s="1">
        <v>4</v>
      </c>
      <c r="I167" s="4">
        <v>0</v>
      </c>
      <c r="J167" s="4">
        <v>0</v>
      </c>
      <c r="K167" s="4">
        <v>0</v>
      </c>
      <c r="L167" s="5">
        <v>0</v>
      </c>
      <c r="M167" s="5">
        <v>0</v>
      </c>
      <c r="N167" s="5">
        <v>0</v>
      </c>
      <c r="O167" s="8">
        <v>0</v>
      </c>
      <c r="P167" s="8">
        <v>4</v>
      </c>
      <c r="Q167" s="8">
        <v>4</v>
      </c>
      <c r="R167" s="1">
        <v>16.899999999999999</v>
      </c>
      <c r="T167" s="1" t="s">
        <v>17</v>
      </c>
      <c r="U167" s="1">
        <f t="shared" si="9"/>
        <v>16.899999999999999</v>
      </c>
    </row>
    <row r="168" spans="1:21" x14ac:dyDescent="0.2">
      <c r="A168" s="1">
        <v>2025</v>
      </c>
      <c r="B168" s="2">
        <v>45800</v>
      </c>
      <c r="C168" s="3">
        <v>0.75</v>
      </c>
      <c r="D168" s="3">
        <v>3.5</v>
      </c>
      <c r="E168" s="3">
        <v>4.25</v>
      </c>
      <c r="F168" s="1">
        <v>0</v>
      </c>
      <c r="G168" s="1">
        <v>0</v>
      </c>
      <c r="H168" s="1">
        <v>0</v>
      </c>
      <c r="I168" s="4">
        <v>0</v>
      </c>
      <c r="J168" s="4">
        <v>0</v>
      </c>
      <c r="K168" s="4">
        <v>0</v>
      </c>
      <c r="L168" s="5">
        <v>0</v>
      </c>
      <c r="M168" s="5">
        <v>0</v>
      </c>
      <c r="N168" s="5">
        <v>0</v>
      </c>
      <c r="O168" s="8">
        <v>1</v>
      </c>
      <c r="P168" s="8">
        <v>4</v>
      </c>
      <c r="Q168" s="8">
        <v>4</v>
      </c>
      <c r="R168" s="1">
        <v>12.9</v>
      </c>
      <c r="T168" s="1" t="s">
        <v>17</v>
      </c>
      <c r="U168" s="1">
        <f t="shared" si="9"/>
        <v>12.9</v>
      </c>
    </row>
    <row r="169" spans="1:21" x14ac:dyDescent="0.2">
      <c r="A169" s="1">
        <v>2025</v>
      </c>
      <c r="B169" s="2">
        <v>45801</v>
      </c>
      <c r="C169" s="3">
        <v>1.5</v>
      </c>
      <c r="D169" s="3">
        <v>5.5</v>
      </c>
      <c r="E169" s="3">
        <v>7</v>
      </c>
      <c r="F169" s="1">
        <v>0</v>
      </c>
      <c r="G169" s="1">
        <v>0</v>
      </c>
      <c r="H169" s="1">
        <v>0</v>
      </c>
      <c r="I169" s="4">
        <v>0</v>
      </c>
      <c r="J169" s="4">
        <v>0</v>
      </c>
      <c r="K169" s="4">
        <v>0</v>
      </c>
      <c r="L169" s="5">
        <v>0</v>
      </c>
      <c r="M169" s="5">
        <v>0</v>
      </c>
      <c r="N169" s="5">
        <v>0</v>
      </c>
      <c r="O169" s="8">
        <v>2</v>
      </c>
      <c r="P169" s="8">
        <v>6</v>
      </c>
      <c r="Q169" s="8">
        <v>7</v>
      </c>
      <c r="R169" s="1">
        <v>10.7</v>
      </c>
      <c r="T169" s="1" t="s">
        <v>17</v>
      </c>
      <c r="U169" s="1">
        <f t="shared" si="9"/>
        <v>10.7</v>
      </c>
    </row>
    <row r="170" spans="1:21" x14ac:dyDescent="0.2">
      <c r="A170" s="1">
        <v>2025</v>
      </c>
      <c r="B170" s="2">
        <v>45802</v>
      </c>
      <c r="C170" s="3">
        <v>2.25</v>
      </c>
      <c r="D170" s="3">
        <v>4.5</v>
      </c>
      <c r="E170" s="3">
        <v>6.75</v>
      </c>
      <c r="F170" s="1">
        <v>0</v>
      </c>
      <c r="G170" s="1">
        <v>0</v>
      </c>
      <c r="H170" s="1">
        <v>0</v>
      </c>
      <c r="I170" s="4">
        <v>0</v>
      </c>
      <c r="J170" s="4">
        <v>0</v>
      </c>
      <c r="K170" s="4">
        <v>0</v>
      </c>
      <c r="L170" s="5">
        <v>0</v>
      </c>
      <c r="M170" s="5">
        <v>0</v>
      </c>
      <c r="N170" s="5">
        <v>0</v>
      </c>
      <c r="O170" s="8">
        <v>2</v>
      </c>
      <c r="P170" s="8">
        <v>4</v>
      </c>
      <c r="Q170" s="8">
        <v>7</v>
      </c>
      <c r="R170" s="1">
        <v>9.33</v>
      </c>
      <c r="T170" s="1" t="s">
        <v>17</v>
      </c>
      <c r="U170" s="1">
        <f t="shared" si="9"/>
        <v>9.33</v>
      </c>
    </row>
    <row r="171" spans="1:21" x14ac:dyDescent="0.2">
      <c r="A171" s="1">
        <v>2025</v>
      </c>
      <c r="B171" s="2">
        <v>45803</v>
      </c>
      <c r="C171" s="3">
        <v>3</v>
      </c>
      <c r="D171" s="3">
        <v>7</v>
      </c>
      <c r="E171" s="3">
        <v>10</v>
      </c>
      <c r="F171" s="1">
        <v>6</v>
      </c>
      <c r="G171" s="1">
        <v>7</v>
      </c>
      <c r="H171" s="1">
        <v>13</v>
      </c>
      <c r="I171" s="4">
        <v>0</v>
      </c>
      <c r="J171" s="4">
        <v>0</v>
      </c>
      <c r="K171" s="4">
        <v>0</v>
      </c>
      <c r="L171" s="5">
        <v>0</v>
      </c>
      <c r="M171" s="5">
        <v>0</v>
      </c>
      <c r="N171" s="5">
        <v>0</v>
      </c>
      <c r="O171" s="8">
        <v>6</v>
      </c>
      <c r="P171" s="8">
        <v>7</v>
      </c>
      <c r="Q171" s="8">
        <v>13</v>
      </c>
      <c r="R171" s="1">
        <v>9.2200000000000006</v>
      </c>
      <c r="T171" s="1" t="s">
        <v>17</v>
      </c>
      <c r="U171" s="1">
        <f t="shared" si="9"/>
        <v>9.2200000000000006</v>
      </c>
    </row>
    <row r="172" spans="1:21" x14ac:dyDescent="0.2">
      <c r="A172" s="1">
        <v>2025</v>
      </c>
      <c r="B172" s="2">
        <v>45804</v>
      </c>
      <c r="C172" s="3">
        <v>0</v>
      </c>
      <c r="D172" s="3">
        <v>2</v>
      </c>
      <c r="E172" s="3">
        <v>2</v>
      </c>
      <c r="F172" s="1">
        <v>0</v>
      </c>
      <c r="G172" s="1">
        <v>0</v>
      </c>
      <c r="H172" s="1">
        <v>0</v>
      </c>
      <c r="I172" s="4">
        <v>0</v>
      </c>
      <c r="J172" s="4">
        <v>0</v>
      </c>
      <c r="K172" s="4">
        <v>0</v>
      </c>
      <c r="L172" s="5">
        <v>0</v>
      </c>
      <c r="M172" s="5">
        <v>0</v>
      </c>
      <c r="N172" s="5">
        <v>0</v>
      </c>
      <c r="O172" s="8">
        <v>0</v>
      </c>
      <c r="P172" s="8">
        <v>2</v>
      </c>
      <c r="Q172" s="8">
        <v>2</v>
      </c>
      <c r="R172" s="1">
        <v>8.77</v>
      </c>
      <c r="T172" s="1" t="s">
        <v>17</v>
      </c>
      <c r="U172" s="1">
        <f t="shared" si="9"/>
        <v>8.77</v>
      </c>
    </row>
    <row r="173" spans="1:21" x14ac:dyDescent="0.2">
      <c r="A173" s="1">
        <v>2025</v>
      </c>
      <c r="B173" s="2">
        <v>45805</v>
      </c>
      <c r="C173" s="3">
        <v>1</v>
      </c>
      <c r="D173" s="3">
        <v>13</v>
      </c>
      <c r="E173" s="3">
        <v>14</v>
      </c>
      <c r="F173" s="1">
        <v>6</v>
      </c>
      <c r="G173" s="1">
        <v>13</v>
      </c>
      <c r="H173" s="1">
        <v>19</v>
      </c>
      <c r="I173" s="4">
        <v>0</v>
      </c>
      <c r="J173" s="4">
        <v>1</v>
      </c>
      <c r="K173" s="4">
        <v>1</v>
      </c>
      <c r="L173" s="5">
        <v>0</v>
      </c>
      <c r="M173" s="5">
        <v>0</v>
      </c>
      <c r="N173" s="5">
        <v>0</v>
      </c>
      <c r="O173" s="8">
        <v>6</v>
      </c>
      <c r="P173" s="8">
        <v>13</v>
      </c>
      <c r="Q173" s="8">
        <v>19</v>
      </c>
      <c r="R173" s="1">
        <v>7.66</v>
      </c>
      <c r="S173" s="7">
        <v>5.2631578947368397E-2</v>
      </c>
      <c r="T173" s="1" t="s">
        <v>21</v>
      </c>
      <c r="U173" s="6">
        <f>AVERAGE(R173:R174)</f>
        <v>7.82</v>
      </c>
    </row>
    <row r="174" spans="1:21" x14ac:dyDescent="0.2">
      <c r="A174" s="1">
        <v>2025</v>
      </c>
      <c r="B174" s="2">
        <v>45806</v>
      </c>
      <c r="C174" s="3">
        <v>0</v>
      </c>
      <c r="D174" s="3">
        <v>2</v>
      </c>
      <c r="E174" s="3">
        <v>2</v>
      </c>
      <c r="F174" s="1">
        <v>3</v>
      </c>
      <c r="G174" s="1">
        <v>4</v>
      </c>
      <c r="H174" s="1">
        <v>7</v>
      </c>
      <c r="I174" s="4">
        <v>0</v>
      </c>
      <c r="J174" s="4">
        <v>0</v>
      </c>
      <c r="K174" s="4">
        <v>0</v>
      </c>
      <c r="L174" s="5">
        <v>0</v>
      </c>
      <c r="M174" s="5">
        <v>1</v>
      </c>
      <c r="N174" s="5">
        <v>1</v>
      </c>
      <c r="O174" s="8">
        <v>3</v>
      </c>
      <c r="P174" s="8">
        <v>3</v>
      </c>
      <c r="Q174" s="8">
        <v>6</v>
      </c>
      <c r="R174" s="1">
        <v>7.98</v>
      </c>
      <c r="T174" s="1" t="s">
        <v>17</v>
      </c>
      <c r="U174" s="6">
        <f>AVERAGE(R173:R174)</f>
        <v>7.82</v>
      </c>
    </row>
    <row r="175" spans="1:21" x14ac:dyDescent="0.2">
      <c r="A175" s="1">
        <v>2025</v>
      </c>
      <c r="B175" s="2">
        <v>45807</v>
      </c>
      <c r="C175" s="3">
        <v>1</v>
      </c>
      <c r="D175" s="3">
        <v>3</v>
      </c>
      <c r="E175" s="3">
        <v>4</v>
      </c>
      <c r="F175" s="1">
        <v>0</v>
      </c>
      <c r="G175" s="1">
        <v>0</v>
      </c>
      <c r="H175" s="1">
        <v>0</v>
      </c>
      <c r="I175" s="4">
        <v>0</v>
      </c>
      <c r="J175" s="4">
        <v>0</v>
      </c>
      <c r="K175" s="4">
        <v>0</v>
      </c>
      <c r="L175" s="5">
        <v>0</v>
      </c>
      <c r="M175" s="5">
        <v>0</v>
      </c>
      <c r="N175" s="5">
        <v>0</v>
      </c>
      <c r="O175" s="8">
        <v>3</v>
      </c>
      <c r="P175" s="8">
        <v>3</v>
      </c>
      <c r="Q175" s="8">
        <v>6</v>
      </c>
      <c r="R175" s="1">
        <v>7.98</v>
      </c>
      <c r="T175" s="1" t="s">
        <v>17</v>
      </c>
      <c r="U175" s="1">
        <f>R175</f>
        <v>7.98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cocn mr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Davidson, Katie (DFO/MPO)</cp:lastModifiedBy>
  <dcterms:created xsi:type="dcterms:W3CDTF">2026-03-22T04:38:24Z</dcterms:created>
  <dcterms:modified xsi:type="dcterms:W3CDTF">2026-03-27T17:37:35Z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2026-03-22T04:43:52Z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8199b131-16d1-47d6-ac11-db9f8d6cdbd0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