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SONKA\Documents\ANALYSIS\Area20\WCVI-SanJuan-Juvenile\"/>
    </mc:Choice>
  </mc:AlternateContent>
  <xr:revisionPtr revIDLastSave="0" documentId="13_ncr:1_{55297C5E-CD75-406A-8382-D9A03D70C8EF}" xr6:coauthVersionLast="47" xr6:coauthVersionMax="47" xr10:uidLastSave="{00000000-0000-0000-0000-000000000000}"/>
  <bookViews>
    <workbookView xWindow="-120" yWindow="-120" windowWidth="29040" windowHeight="15720" xr2:uid="{C3E91437-16B8-4992-9A2F-67FA0613CFC2}"/>
  </bookViews>
  <sheets>
    <sheet name="mark_rel_sum test2 - work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T2" i="1"/>
  <c r="S2" i="1"/>
  <c r="R2" i="1"/>
  <c r="Q2" i="1"/>
  <c r="O2" i="1"/>
  <c r="N2" i="1"/>
  <c r="M2" i="1"/>
  <c r="L2" i="1"/>
  <c r="J21" i="1"/>
  <c r="J16" i="1"/>
  <c r="J6" i="1"/>
  <c r="J4" i="1"/>
</calcChain>
</file>

<file path=xl/sharedStrings.xml><?xml version="1.0" encoding="utf-8"?>
<sst xmlns="http://schemas.openxmlformats.org/spreadsheetml/2006/main" count="431" uniqueCount="102">
  <si>
    <t>year</t>
  </si>
  <si>
    <t>life_stage</t>
  </si>
  <si>
    <t>release_date</t>
  </si>
  <si>
    <t>catch_date</t>
  </si>
  <si>
    <t>total_marks_released_M</t>
  </si>
  <si>
    <t>total_caught_markunmarked_nC</t>
  </si>
  <si>
    <t>total_recaps_mR</t>
  </si>
  <si>
    <t>total_caught_unmarked_u</t>
  </si>
  <si>
    <t>week_strata</t>
  </si>
  <si>
    <t>stratum_trap_efficiency_p</t>
  </si>
  <si>
    <t>fry</t>
  </si>
  <si>
    <t>Wednesday, March 13, 2024</t>
  </si>
  <si>
    <t>Thursday, March 14, 2024</t>
  </si>
  <si>
    <t>Tuesday, March 19, 2024</t>
  </si>
  <si>
    <t>Wednesday, March 20, 2024</t>
  </si>
  <si>
    <t>Tuesday, March 26, 2024</t>
  </si>
  <si>
    <t>Wednesday, March 27, 2024</t>
  </si>
  <si>
    <t>Thursday, March 28, 2024</t>
  </si>
  <si>
    <t>Wednesday, April 3, 2024</t>
  </si>
  <si>
    <t>Thursday, April 4, 2024</t>
  </si>
  <si>
    <t>Tuesday, April 9, 2024</t>
  </si>
  <si>
    <t>Wednesday, April 10, 2024</t>
  </si>
  <si>
    <t>Thursday, April 11, 2024</t>
  </si>
  <si>
    <t>Tuesday, April 16, 2024</t>
  </si>
  <si>
    <t>Wednesday, April 17, 2024</t>
  </si>
  <si>
    <t>Thursday, April 18, 2024</t>
  </si>
  <si>
    <t>Tuesday, April 23, 2024</t>
  </si>
  <si>
    <t>Wednesday, April 24, 2024</t>
  </si>
  <si>
    <t>Tuesday, April 30, 2024</t>
  </si>
  <si>
    <t>Wednesday, May 1, 2024</t>
  </si>
  <si>
    <t>Thursday, May 2, 2024</t>
  </si>
  <si>
    <t>Friday, May 3, 2024</t>
  </si>
  <si>
    <t>NA</t>
  </si>
  <si>
    <t>Tuesday, May 7, 2024</t>
  </si>
  <si>
    <t>Wednesday, May 8, 2024</t>
  </si>
  <si>
    <t>Thursday, May 9, 2024</t>
  </si>
  <si>
    <t>Friday, May 10, 2024</t>
  </si>
  <si>
    <t>Tuesday, May 14, 2024</t>
  </si>
  <si>
    <t>Wednesday, May 15, 2024</t>
  </si>
  <si>
    <t>Friday, May 17, 2024</t>
  </si>
  <si>
    <t>Tuesday, May 28, 2024</t>
  </si>
  <si>
    <t>Wednesday, May 29, 2024</t>
  </si>
  <si>
    <t>Thursday, May 30, 2024</t>
  </si>
  <si>
    <t>smolt</t>
  </si>
  <si>
    <t>Thursday, April 25, 2024</t>
  </si>
  <si>
    <t>Friday, April 26, 2024</t>
  </si>
  <si>
    <t>Thursday, February 27, 2025</t>
  </si>
  <si>
    <t>Friday, February 28, 2025</t>
  </si>
  <si>
    <t>Tuesday, March 4, 2025</t>
  </si>
  <si>
    <t>Wednesday, March 5, 2025</t>
  </si>
  <si>
    <t>Thursday, March 6, 2025</t>
  </si>
  <si>
    <t>Friday, March 7, 2025</t>
  </si>
  <si>
    <t>Wednesday, March 12, 2025</t>
  </si>
  <si>
    <t>Thursday, March 13, 2025</t>
  </si>
  <si>
    <t>Friday, March 14, 2025</t>
  </si>
  <si>
    <t>Tuesday, March 18, 2025</t>
  </si>
  <si>
    <t>Wednesday, March 19, 2025</t>
  </si>
  <si>
    <t>Thursday, March 20, 2025</t>
  </si>
  <si>
    <t>Friday, March 21, 2025</t>
  </si>
  <si>
    <t>Wednesday, April 2, 2025</t>
  </si>
  <si>
    <t>Thursday, April 3, 2025</t>
  </si>
  <si>
    <t>Friday, April 4, 2025</t>
  </si>
  <si>
    <t>Tuesday, April 8, 2025</t>
  </si>
  <si>
    <t>Wednesday, April 9, 2025</t>
  </si>
  <si>
    <t>Thursday, April 10, 2025</t>
  </si>
  <si>
    <t>Friday, April 11, 2025</t>
  </si>
  <si>
    <t>Tuesday, April 15, 2025</t>
  </si>
  <si>
    <t>Wednesday, April 16, 2025</t>
  </si>
  <si>
    <t>Thursday, April 17, 2025</t>
  </si>
  <si>
    <t>Friday, April 18, 2025</t>
  </si>
  <si>
    <t>Thursday, April 24, 2025</t>
  </si>
  <si>
    <t>Friday, April 25, 2025</t>
  </si>
  <si>
    <t>Monday, April 28, 2025</t>
  </si>
  <si>
    <t>Tuesday, April 29, 2025</t>
  </si>
  <si>
    <t>Wednesday, April 30, 2025</t>
  </si>
  <si>
    <t>Thursday, May 1, 2025</t>
  </si>
  <si>
    <t>Friday, May 2, 2025</t>
  </si>
  <si>
    <t>Monday, May 5, 2025</t>
  </si>
  <si>
    <t>Tuesday, May 6, 2025</t>
  </si>
  <si>
    <t>Wednesday, May 7, 2025</t>
  </si>
  <si>
    <t>Thursday, May 8, 2025</t>
  </si>
  <si>
    <t>Friday, May 9, 2025</t>
  </si>
  <si>
    <t>Tuesday, May 13, 2025</t>
  </si>
  <si>
    <t>Wednesday, May 14, 2025</t>
  </si>
  <si>
    <t>Friday, May 16, 2025</t>
  </si>
  <si>
    <t>Tuesday, May 20, 2025</t>
  </si>
  <si>
    <t>Wednesday, May 21, 2025</t>
  </si>
  <si>
    <t>Thursday, May 22, 2025</t>
  </si>
  <si>
    <t>Monday, May 26, 2025</t>
  </si>
  <si>
    <t>Tuesday, May 27, 2025</t>
  </si>
  <si>
    <t>Wednesday, May 28, 2025</t>
  </si>
  <si>
    <t>Thursday, May 29, 2025</t>
  </si>
  <si>
    <t>Friday, May 30, 2025</t>
  </si>
  <si>
    <t>N=((M+1)(C+1)/(R+1) ) - 1</t>
  </si>
  <si>
    <t>M</t>
  </si>
  <si>
    <t>C</t>
  </si>
  <si>
    <t>R</t>
  </si>
  <si>
    <t>((M+1)(C+1)(M-R)(C-R))</t>
  </si>
  <si>
    <t>((R+1)2(R+2))</t>
  </si>
  <si>
    <t>Var</t>
  </si>
  <si>
    <t>SE</t>
  </si>
  <si>
    <t>95%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</si>
</sst>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8"/>
      <color theme="1"/>
      <name val="Arial"/>
      <family val="2"/>
    </font>
    <font>
      <sz val="8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33" borderId="0" xfId="0" applyFill="1"/>
    <xf numFmtId="9" fontId="0" fillId="0" borderId="0" xfId="42" applyFont="1"/>
    <xf numFmtId="0" fontId="0" fillId="34" borderId="0" xfId="0" applyFill="1"/>
    <xf numFmtId="9" fontId="0" fillId="34" borderId="0" xfId="42" applyFont="1" applyFill="1"/>
    <xf numFmtId="0" fontId="0" fillId="35" borderId="0" xfId="0" applyFill="1"/>
    <xf numFmtId="9" fontId="0" fillId="35" borderId="0" xfId="42" applyFont="1" applyFill="1"/>
    <xf numFmtId="0" fontId="0" fillId="36" borderId="0" xfId="0" applyFill="1"/>
    <xf numFmtId="9" fontId="0" fillId="36" borderId="0" xfId="42" applyFont="1" applyFill="1"/>
    <xf numFmtId="0" fontId="0" fillId="37" borderId="0" xfId="0" applyFill="1"/>
    <xf numFmtId="9" fontId="0" fillId="37" borderId="0" xfId="42" applyFont="1" applyFill="1"/>
    <xf numFmtId="0" fontId="0" fillId="38" borderId="0" xfId="0" applyFill="1"/>
    <xf numFmtId="9" fontId="0" fillId="38" borderId="0" xfId="42" applyFont="1" applyFill="1"/>
    <xf numFmtId="0" fontId="0" fillId="39" borderId="0" xfId="0" applyFill="1"/>
    <xf numFmtId="9" fontId="0" fillId="39" borderId="0" xfId="42" applyFont="1" applyFill="1"/>
    <xf numFmtId="0" fontId="0" fillId="0" borderId="0" xfId="0" applyFill="1"/>
    <xf numFmtId="0" fontId="18" fillId="0" borderId="0" xfId="0" applyFont="1" applyFill="1"/>
    <xf numFmtId="0" fontId="19" fillId="0" borderId="0" xfId="0" applyFont="1" applyFill="1"/>
    <xf numFmtId="0" fontId="19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4" fontId="18" fillId="0" borderId="0" xfId="0" applyNumberFormat="1" applyFont="1" applyFill="1" applyAlignment="1">
      <alignment horizontal="center"/>
    </xf>
    <xf numFmtId="3" fontId="18" fillId="0" borderId="0" xfId="0" applyNumberFormat="1" applyFont="1" applyFill="1" applyAlignment="1">
      <alignment horizontal="center"/>
    </xf>
    <xf numFmtId="3" fontId="0" fillId="0" borderId="0" xfId="0" applyNumberFormat="1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9F27-C0BF-476E-8D4C-B533B4E4698E}">
  <dimension ref="A1:DT112"/>
  <sheetViews>
    <sheetView tabSelected="1" topLeftCell="C1" workbookViewId="0">
      <selection activeCell="Q18" sqref="Q18"/>
    </sheetView>
  </sheetViews>
  <sheetFormatPr defaultRowHeight="12.75" x14ac:dyDescent="0.2"/>
  <cols>
    <col min="1" max="1" width="5.1640625" bestFit="1" customWidth="1"/>
    <col min="2" max="2" width="9" bestFit="1" customWidth="1"/>
    <col min="3" max="3" width="25.1640625" bestFit="1" customWidth="1"/>
    <col min="4" max="4" width="24.83203125" bestFit="1" customWidth="1"/>
    <col min="5" max="5" width="21" bestFit="1" customWidth="1"/>
    <col min="6" max="6" width="27.5" bestFit="1" customWidth="1"/>
    <col min="7" max="7" width="14.83203125" bestFit="1" customWidth="1"/>
    <col min="8" max="8" width="22.33203125" bestFit="1" customWidth="1"/>
    <col min="9" max="9" width="11.33203125" bestFit="1" customWidth="1"/>
    <col min="10" max="10" width="22.83203125" bestFit="1" customWidth="1"/>
    <col min="11" max="11" width="9.33203125" style="15"/>
    <col min="12" max="12" width="11.83203125" style="16" bestFit="1" customWidth="1"/>
    <col min="13" max="13" width="13" style="16" bestFit="1" customWidth="1"/>
    <col min="14" max="14" width="9.5" style="16" bestFit="1" customWidth="1"/>
    <col min="15" max="15" width="25.6640625" style="16" customWidth="1"/>
    <col min="16" max="16" width="9.33203125" style="16"/>
    <col min="17" max="17" width="39" style="16" bestFit="1" customWidth="1"/>
    <col min="18" max="18" width="18.33203125" style="16" customWidth="1"/>
    <col min="19" max="19" width="18.1640625" style="16" bestFit="1" customWidth="1"/>
    <col min="20" max="20" width="10.6640625" style="16" bestFit="1" customWidth="1"/>
    <col min="21" max="21" width="14.83203125" style="15" customWidth="1"/>
    <col min="22" max="124" width="9.33203125" style="15"/>
  </cols>
  <sheetData>
    <row r="1" spans="1:1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s="18" t="s">
        <v>94</v>
      </c>
      <c r="M1" s="18" t="s">
        <v>95</v>
      </c>
      <c r="N1" s="18" t="s">
        <v>96</v>
      </c>
      <c r="O1" s="18" t="s">
        <v>93</v>
      </c>
      <c r="P1" s="19"/>
      <c r="Q1" s="18" t="s">
        <v>97</v>
      </c>
      <c r="R1" s="18" t="s">
        <v>98</v>
      </c>
      <c r="S1" s="18" t="s">
        <v>99</v>
      </c>
      <c r="T1" s="18" t="s">
        <v>100</v>
      </c>
      <c r="U1" s="18" t="s">
        <v>101</v>
      </c>
    </row>
    <row r="2" spans="1:124" s="11" customFormat="1" x14ac:dyDescent="0.2">
      <c r="A2" s="11">
        <v>2024</v>
      </c>
      <c r="B2" s="11" t="s">
        <v>10</v>
      </c>
      <c r="C2" s="11" t="s">
        <v>11</v>
      </c>
      <c r="D2" s="11" t="s">
        <v>12</v>
      </c>
      <c r="E2" s="11">
        <v>4</v>
      </c>
      <c r="F2" s="11">
        <v>3</v>
      </c>
      <c r="G2" s="11">
        <v>0</v>
      </c>
      <c r="H2" s="11">
        <v>3</v>
      </c>
      <c r="I2" s="11">
        <v>1</v>
      </c>
      <c r="J2" s="12">
        <v>0</v>
      </c>
      <c r="K2" s="15"/>
      <c r="L2" s="21">
        <f>SUM(E2:E14,E16:E19,E21:E22)</f>
        <v>2278</v>
      </c>
      <c r="M2" s="21">
        <f>SUM(F2:F14,F16:F19,F21:F22)</f>
        <v>3328</v>
      </c>
      <c r="N2" s="21">
        <f>SUM(G2:G14,G16:G19,G21:G22)</f>
        <v>24</v>
      </c>
      <c r="O2" s="21">
        <f>(((L2+1)*(M2+1))/(N2+1))-1</f>
        <v>303470.64</v>
      </c>
      <c r="P2" s="20"/>
      <c r="Q2" s="21">
        <f>(L2+1)*(M2+1)*(L2-N2)*(M2-N2)</f>
        <v>56500471323856</v>
      </c>
      <c r="R2" s="21">
        <f>((N2+1)^2)*(N2+2)</f>
        <v>16250</v>
      </c>
      <c r="S2" s="21">
        <f>Q2/R2</f>
        <v>3476952081.4680614</v>
      </c>
      <c r="T2" s="21">
        <f>SQRT(S2)</f>
        <v>58965.685627049752</v>
      </c>
      <c r="U2" s="22">
        <f>1.96*T2</f>
        <v>115572.74382901751</v>
      </c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</row>
    <row r="3" spans="1:124" s="7" customFormat="1" x14ac:dyDescent="0.2">
      <c r="A3" s="7">
        <v>2024</v>
      </c>
      <c r="B3" s="7" t="s">
        <v>10</v>
      </c>
      <c r="C3" s="7" t="s">
        <v>13</v>
      </c>
      <c r="D3" s="7" t="s">
        <v>14</v>
      </c>
      <c r="E3" s="7">
        <v>188</v>
      </c>
      <c r="F3" s="7">
        <v>28</v>
      </c>
      <c r="G3" s="7">
        <v>0</v>
      </c>
      <c r="H3" s="7">
        <v>28</v>
      </c>
      <c r="I3" s="7">
        <v>2</v>
      </c>
      <c r="J3" s="8">
        <v>0</v>
      </c>
      <c r="K3" s="15"/>
      <c r="L3" s="16"/>
      <c r="M3" s="16"/>
      <c r="N3" s="16"/>
      <c r="O3" s="16"/>
      <c r="P3" s="16"/>
      <c r="Q3" s="16"/>
      <c r="R3" s="16"/>
      <c r="S3" s="16"/>
      <c r="T3" s="16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</row>
    <row r="4" spans="1:124" s="3" customFormat="1" x14ac:dyDescent="0.2">
      <c r="A4" s="3">
        <v>2024</v>
      </c>
      <c r="B4" s="3" t="s">
        <v>10</v>
      </c>
      <c r="C4" s="3" t="s">
        <v>15</v>
      </c>
      <c r="D4" s="3" t="s">
        <v>16</v>
      </c>
      <c r="E4" s="3">
        <v>6</v>
      </c>
      <c r="F4" s="3">
        <v>350</v>
      </c>
      <c r="G4" s="3">
        <v>0</v>
      </c>
      <c r="H4" s="3">
        <v>350</v>
      </c>
      <c r="I4" s="3">
        <v>3</v>
      </c>
      <c r="J4" s="4">
        <f>SUM(G4:G5)/SUM(E4:E5)</f>
        <v>5.5710306406685237E-3</v>
      </c>
      <c r="K4" s="15"/>
      <c r="L4" s="16"/>
      <c r="M4" s="16"/>
      <c r="N4" s="16"/>
      <c r="O4" s="16"/>
      <c r="P4" s="16"/>
      <c r="Q4" s="16"/>
      <c r="R4" s="16"/>
      <c r="S4" s="16"/>
      <c r="T4" s="16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</row>
    <row r="5" spans="1:124" s="3" customFormat="1" x14ac:dyDescent="0.2">
      <c r="A5" s="3">
        <v>2024</v>
      </c>
      <c r="B5" s="3" t="s">
        <v>10</v>
      </c>
      <c r="C5" s="3" t="s">
        <v>16</v>
      </c>
      <c r="D5" s="3" t="s">
        <v>17</v>
      </c>
      <c r="E5" s="3">
        <v>353</v>
      </c>
      <c r="F5" s="3">
        <v>358</v>
      </c>
      <c r="G5" s="3">
        <v>2</v>
      </c>
      <c r="H5" s="3">
        <v>356</v>
      </c>
      <c r="I5" s="3">
        <v>3</v>
      </c>
      <c r="J5" s="4"/>
      <c r="K5" s="15"/>
      <c r="L5" s="16"/>
      <c r="M5" s="16"/>
      <c r="N5" s="16"/>
      <c r="O5" s="16"/>
      <c r="P5" s="16"/>
      <c r="Q5" s="16"/>
      <c r="R5" s="16"/>
      <c r="S5" s="16"/>
      <c r="T5" s="16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</row>
    <row r="6" spans="1:124" s="9" customFormat="1" x14ac:dyDescent="0.2">
      <c r="A6" s="9">
        <v>2024</v>
      </c>
      <c r="B6" s="9" t="s">
        <v>10</v>
      </c>
      <c r="C6" s="9" t="s">
        <v>18</v>
      </c>
      <c r="D6" s="9" t="s">
        <v>19</v>
      </c>
      <c r="E6" s="9">
        <v>524</v>
      </c>
      <c r="F6" s="9">
        <v>1035</v>
      </c>
      <c r="G6" s="9">
        <v>10</v>
      </c>
      <c r="H6" s="9">
        <v>1025</v>
      </c>
      <c r="I6" s="9">
        <v>4</v>
      </c>
      <c r="J6" s="10">
        <f>SUM(G6)/SUM(E6)</f>
        <v>1.9083969465648856E-2</v>
      </c>
      <c r="K6" s="15"/>
      <c r="L6" s="17"/>
      <c r="M6" s="17"/>
      <c r="N6" s="16"/>
      <c r="O6" s="16"/>
      <c r="P6" s="16"/>
      <c r="Q6" s="16"/>
      <c r="R6" s="16"/>
      <c r="S6" s="16"/>
      <c r="T6" s="16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</row>
    <row r="7" spans="1:124" s="5" customFormat="1" x14ac:dyDescent="0.2">
      <c r="A7" s="5">
        <v>2024</v>
      </c>
      <c r="B7" s="5" t="s">
        <v>10</v>
      </c>
      <c r="C7" s="5" t="s">
        <v>20</v>
      </c>
      <c r="D7" s="5" t="s">
        <v>21</v>
      </c>
      <c r="E7" s="5">
        <v>51</v>
      </c>
      <c r="F7" s="5">
        <v>97</v>
      </c>
      <c r="G7" s="5">
        <v>0</v>
      </c>
      <c r="H7" s="5">
        <v>97</v>
      </c>
      <c r="I7" s="5">
        <v>5</v>
      </c>
      <c r="J7" s="6">
        <v>0</v>
      </c>
      <c r="K7" s="15"/>
      <c r="L7" s="16"/>
      <c r="M7" s="16"/>
      <c r="N7" s="16"/>
      <c r="O7" s="16"/>
      <c r="P7" s="16"/>
      <c r="Q7" s="16"/>
      <c r="R7" s="16"/>
      <c r="S7" s="16"/>
      <c r="T7" s="16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</row>
    <row r="8" spans="1:124" s="5" customFormat="1" x14ac:dyDescent="0.2">
      <c r="A8" s="5">
        <v>2024</v>
      </c>
      <c r="B8" s="5" t="s">
        <v>10</v>
      </c>
      <c r="C8" s="5" t="s">
        <v>21</v>
      </c>
      <c r="D8" s="5" t="s">
        <v>22</v>
      </c>
      <c r="E8" s="5">
        <v>70</v>
      </c>
      <c r="F8" s="5">
        <v>847</v>
      </c>
      <c r="G8" s="5">
        <v>0</v>
      </c>
      <c r="H8" s="5">
        <v>847</v>
      </c>
      <c r="I8" s="5">
        <v>5</v>
      </c>
      <c r="J8" s="6"/>
      <c r="K8" s="15"/>
      <c r="L8" s="16"/>
      <c r="M8" s="16"/>
      <c r="N8" s="16"/>
      <c r="O8" s="16"/>
      <c r="P8" s="16"/>
      <c r="Q8" s="16"/>
      <c r="R8" s="16"/>
      <c r="S8" s="16"/>
      <c r="T8" s="16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</row>
    <row r="9" spans="1:124" s="7" customFormat="1" x14ac:dyDescent="0.2">
      <c r="A9" s="7">
        <v>2024</v>
      </c>
      <c r="B9" s="7" t="s">
        <v>10</v>
      </c>
      <c r="C9" s="7" t="s">
        <v>23</v>
      </c>
      <c r="D9" s="7" t="s">
        <v>24</v>
      </c>
      <c r="E9" s="7">
        <v>13</v>
      </c>
      <c r="F9" s="7">
        <v>47</v>
      </c>
      <c r="G9" s="7">
        <v>0</v>
      </c>
      <c r="H9" s="7">
        <v>47</v>
      </c>
      <c r="I9" s="7">
        <v>6</v>
      </c>
      <c r="J9" s="8">
        <v>0</v>
      </c>
      <c r="K9" s="15"/>
      <c r="L9" s="16"/>
      <c r="M9" s="16"/>
      <c r="N9" s="16"/>
      <c r="O9" s="16"/>
      <c r="P9" s="16"/>
      <c r="Q9" s="16"/>
      <c r="R9" s="16"/>
      <c r="S9" s="16"/>
      <c r="T9" s="16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</row>
    <row r="10" spans="1:124" s="7" customFormat="1" x14ac:dyDescent="0.2">
      <c r="A10" s="7">
        <v>2024</v>
      </c>
      <c r="B10" s="7" t="s">
        <v>10</v>
      </c>
      <c r="C10" s="7" t="s">
        <v>24</v>
      </c>
      <c r="D10" s="7" t="s">
        <v>25</v>
      </c>
      <c r="E10" s="7">
        <v>49</v>
      </c>
      <c r="F10" s="7">
        <v>18</v>
      </c>
      <c r="G10" s="7">
        <v>0</v>
      </c>
      <c r="H10" s="7">
        <v>18</v>
      </c>
      <c r="I10" s="7">
        <v>6</v>
      </c>
      <c r="J10" s="8"/>
      <c r="K10" s="15"/>
      <c r="L10" s="16"/>
      <c r="M10" s="16"/>
      <c r="N10" s="16"/>
      <c r="O10" s="16"/>
      <c r="P10" s="16"/>
      <c r="Q10" s="16"/>
      <c r="R10" s="16"/>
      <c r="S10" s="16"/>
      <c r="T10" s="16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</row>
    <row r="11" spans="1:124" s="9" customFormat="1" x14ac:dyDescent="0.2">
      <c r="A11" s="9">
        <v>2024</v>
      </c>
      <c r="B11" s="9" t="s">
        <v>10</v>
      </c>
      <c r="C11" s="9" t="s">
        <v>26</v>
      </c>
      <c r="D11" s="9" t="s">
        <v>27</v>
      </c>
      <c r="E11" s="9">
        <v>35</v>
      </c>
      <c r="F11" s="9">
        <v>0</v>
      </c>
      <c r="G11" s="9">
        <v>0</v>
      </c>
      <c r="H11" s="9">
        <v>0</v>
      </c>
      <c r="I11" s="9">
        <v>7</v>
      </c>
      <c r="J11" s="10">
        <v>0</v>
      </c>
      <c r="K11" s="15"/>
      <c r="L11" s="16"/>
      <c r="M11" s="16"/>
      <c r="N11" s="16"/>
      <c r="O11" s="16"/>
      <c r="P11" s="16"/>
      <c r="Q11" s="16"/>
      <c r="R11" s="16"/>
      <c r="S11" s="16"/>
      <c r="T11" s="16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</row>
    <row r="12" spans="1:124" s="11" customFormat="1" x14ac:dyDescent="0.2">
      <c r="A12" s="11">
        <v>2024</v>
      </c>
      <c r="B12" s="11" t="s">
        <v>10</v>
      </c>
      <c r="C12" s="11" t="s">
        <v>28</v>
      </c>
      <c r="D12" s="11" t="s">
        <v>29</v>
      </c>
      <c r="E12" s="11">
        <v>237</v>
      </c>
      <c r="F12" s="11">
        <v>215</v>
      </c>
      <c r="G12" s="11">
        <v>0</v>
      </c>
      <c r="H12" s="11">
        <v>215</v>
      </c>
      <c r="I12" s="11">
        <v>8</v>
      </c>
      <c r="J12" s="12">
        <v>0</v>
      </c>
      <c r="K12" s="15"/>
      <c r="L12" s="16"/>
      <c r="M12" s="16"/>
      <c r="N12" s="16"/>
      <c r="O12" s="16"/>
      <c r="P12" s="16"/>
      <c r="Q12" s="16"/>
      <c r="R12" s="16"/>
      <c r="S12" s="16"/>
      <c r="T12" s="16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</row>
    <row r="13" spans="1:124" s="11" customFormat="1" x14ac:dyDescent="0.2">
      <c r="A13" s="11">
        <v>2024</v>
      </c>
      <c r="B13" s="11" t="s">
        <v>10</v>
      </c>
      <c r="C13" s="11" t="s">
        <v>29</v>
      </c>
      <c r="D13" s="11" t="s">
        <v>30</v>
      </c>
      <c r="E13" s="11">
        <v>211</v>
      </c>
      <c r="F13" s="11">
        <v>146</v>
      </c>
      <c r="G13" s="11">
        <v>0</v>
      </c>
      <c r="H13" s="11">
        <v>146</v>
      </c>
      <c r="I13" s="11">
        <v>8</v>
      </c>
      <c r="J13" s="12"/>
      <c r="K13" s="15"/>
      <c r="L13" s="16"/>
      <c r="M13" s="16"/>
      <c r="N13" s="16"/>
      <c r="O13" s="16"/>
      <c r="P13" s="16"/>
      <c r="Q13" s="16"/>
      <c r="R13" s="16"/>
      <c r="S13" s="16"/>
      <c r="T13" s="16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</row>
    <row r="14" spans="1:124" s="11" customFormat="1" x14ac:dyDescent="0.2">
      <c r="A14" s="11">
        <v>2024</v>
      </c>
      <c r="B14" s="11" t="s">
        <v>10</v>
      </c>
      <c r="C14" s="11" t="s">
        <v>30</v>
      </c>
      <c r="D14" s="11" t="s">
        <v>31</v>
      </c>
      <c r="E14" s="11">
        <v>141</v>
      </c>
      <c r="F14" s="11">
        <v>59</v>
      </c>
      <c r="G14" s="11">
        <v>0</v>
      </c>
      <c r="H14" s="11">
        <v>59</v>
      </c>
      <c r="I14" s="11">
        <v>8</v>
      </c>
      <c r="J14" s="12"/>
      <c r="K14" s="15"/>
      <c r="L14" s="16"/>
      <c r="M14" s="16"/>
      <c r="N14" s="16"/>
      <c r="O14" s="16"/>
      <c r="P14" s="16"/>
      <c r="Q14" s="16"/>
      <c r="R14" s="16"/>
      <c r="S14" s="16"/>
      <c r="T14" s="16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</row>
    <row r="15" spans="1:124" s="11" customFormat="1" x14ac:dyDescent="0.2">
      <c r="A15" s="11">
        <v>2024</v>
      </c>
      <c r="B15" s="11" t="s">
        <v>10</v>
      </c>
      <c r="C15" s="11" t="s">
        <v>31</v>
      </c>
      <c r="D15" s="11" t="s">
        <v>32</v>
      </c>
      <c r="E15" s="11">
        <v>59</v>
      </c>
      <c r="F15" s="11" t="s">
        <v>32</v>
      </c>
      <c r="G15" s="11" t="s">
        <v>32</v>
      </c>
      <c r="H15" s="11" t="s">
        <v>32</v>
      </c>
      <c r="I15" s="11">
        <v>8</v>
      </c>
      <c r="J15" s="12"/>
      <c r="K15" s="15"/>
      <c r="L15" s="16"/>
      <c r="M15" s="16"/>
      <c r="N15" s="16"/>
      <c r="O15" s="16"/>
      <c r="P15" s="16"/>
      <c r="Q15" s="16"/>
      <c r="R15" s="16"/>
      <c r="S15" s="16"/>
      <c r="T15" s="16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</row>
    <row r="16" spans="1:124" s="13" customFormat="1" x14ac:dyDescent="0.2">
      <c r="A16" s="13">
        <v>2024</v>
      </c>
      <c r="B16" s="13" t="s">
        <v>10</v>
      </c>
      <c r="C16" s="13" t="s">
        <v>33</v>
      </c>
      <c r="D16" s="13" t="s">
        <v>34</v>
      </c>
      <c r="E16" s="13">
        <v>190</v>
      </c>
      <c r="F16" s="13">
        <v>51</v>
      </c>
      <c r="G16" s="13">
        <v>2</v>
      </c>
      <c r="H16" s="13">
        <v>49</v>
      </c>
      <c r="I16" s="13">
        <v>9</v>
      </c>
      <c r="J16" s="14">
        <f>SUM(G16:G18)/SUM(E16:E18)</f>
        <v>7.6923076923076927E-3</v>
      </c>
      <c r="K16" s="15"/>
      <c r="L16" s="16"/>
      <c r="M16" s="16"/>
      <c r="N16" s="16"/>
      <c r="O16" s="16"/>
      <c r="P16" s="16"/>
      <c r="Q16" s="16"/>
      <c r="R16" s="16"/>
      <c r="S16" s="16"/>
      <c r="T16" s="16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</row>
    <row r="17" spans="1:124" s="13" customFormat="1" x14ac:dyDescent="0.2">
      <c r="A17" s="13">
        <v>2024</v>
      </c>
      <c r="B17" s="13" t="s">
        <v>10</v>
      </c>
      <c r="C17" s="13" t="s">
        <v>34</v>
      </c>
      <c r="D17" s="13" t="s">
        <v>35</v>
      </c>
      <c r="E17" s="13">
        <v>41</v>
      </c>
      <c r="F17" s="13">
        <v>30</v>
      </c>
      <c r="G17" s="13">
        <v>0</v>
      </c>
      <c r="H17" s="13">
        <v>30</v>
      </c>
      <c r="I17" s="13">
        <v>9</v>
      </c>
      <c r="J17" s="14"/>
      <c r="K17" s="15"/>
      <c r="L17" s="16"/>
      <c r="M17" s="16"/>
      <c r="N17" s="16"/>
      <c r="O17" s="16"/>
      <c r="P17" s="16"/>
      <c r="Q17" s="16"/>
      <c r="R17" s="16"/>
      <c r="S17" s="16"/>
      <c r="T17" s="16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</row>
    <row r="18" spans="1:124" s="13" customFormat="1" x14ac:dyDescent="0.2">
      <c r="A18" s="13">
        <v>2024</v>
      </c>
      <c r="B18" s="13" t="s">
        <v>10</v>
      </c>
      <c r="C18" s="13" t="s">
        <v>35</v>
      </c>
      <c r="D18" s="13" t="s">
        <v>36</v>
      </c>
      <c r="E18" s="13">
        <v>29</v>
      </c>
      <c r="F18" s="13">
        <v>10</v>
      </c>
      <c r="G18" s="13">
        <v>0</v>
      </c>
      <c r="H18" s="13">
        <v>10</v>
      </c>
      <c r="I18" s="13">
        <v>9</v>
      </c>
      <c r="J18" s="14"/>
      <c r="K18" s="15"/>
      <c r="L18" s="16"/>
      <c r="M18" s="16"/>
      <c r="N18" s="16"/>
      <c r="O18" s="16"/>
      <c r="P18" s="16"/>
      <c r="Q18" s="16"/>
      <c r="R18" s="16"/>
      <c r="S18" s="16"/>
      <c r="T18" s="16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</row>
    <row r="19" spans="1:124" s="5" customFormat="1" x14ac:dyDescent="0.2">
      <c r="A19" s="5">
        <v>2024</v>
      </c>
      <c r="B19" s="5" t="s">
        <v>10</v>
      </c>
      <c r="C19" s="5" t="s">
        <v>37</v>
      </c>
      <c r="D19" s="5" t="s">
        <v>38</v>
      </c>
      <c r="E19" s="5">
        <v>29</v>
      </c>
      <c r="F19" s="5">
        <v>4</v>
      </c>
      <c r="G19" s="5">
        <v>0</v>
      </c>
      <c r="H19" s="5">
        <v>4</v>
      </c>
      <c r="I19" s="5">
        <v>10</v>
      </c>
      <c r="J19" s="6">
        <v>0</v>
      </c>
      <c r="K19" s="15"/>
      <c r="L19" s="16"/>
      <c r="M19" s="16"/>
      <c r="N19" s="16"/>
      <c r="O19" s="16"/>
      <c r="P19" s="16"/>
      <c r="Q19" s="16"/>
      <c r="R19" s="16"/>
      <c r="S19" s="16"/>
      <c r="T19" s="16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</row>
    <row r="20" spans="1:124" s="5" customFormat="1" x14ac:dyDescent="0.2">
      <c r="A20" s="5">
        <v>2024</v>
      </c>
      <c r="B20" s="5" t="s">
        <v>10</v>
      </c>
      <c r="C20" s="5" t="s">
        <v>39</v>
      </c>
      <c r="D20" s="5" t="s">
        <v>32</v>
      </c>
      <c r="E20" s="5">
        <v>1</v>
      </c>
      <c r="F20" s="5" t="s">
        <v>32</v>
      </c>
      <c r="G20" s="5" t="s">
        <v>32</v>
      </c>
      <c r="H20" s="5" t="s">
        <v>32</v>
      </c>
      <c r="I20" s="5">
        <v>10</v>
      </c>
      <c r="J20" s="6"/>
      <c r="K20" s="15"/>
      <c r="L20" s="16"/>
      <c r="M20" s="16"/>
      <c r="N20" s="16"/>
      <c r="O20" s="16"/>
      <c r="P20" s="16"/>
      <c r="Q20" s="16"/>
      <c r="R20" s="16"/>
      <c r="S20" s="16"/>
      <c r="T20" s="16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</row>
    <row r="21" spans="1:124" s="7" customFormat="1" x14ac:dyDescent="0.2">
      <c r="A21" s="7">
        <v>2024</v>
      </c>
      <c r="B21" s="7" t="s">
        <v>10</v>
      </c>
      <c r="C21" s="7" t="s">
        <v>40</v>
      </c>
      <c r="D21" s="7" t="s">
        <v>41</v>
      </c>
      <c r="E21" s="7">
        <v>95</v>
      </c>
      <c r="F21" s="7">
        <v>27</v>
      </c>
      <c r="G21" s="7">
        <v>10</v>
      </c>
      <c r="H21" s="7">
        <v>17</v>
      </c>
      <c r="I21" s="7">
        <v>11</v>
      </c>
      <c r="J21" s="8">
        <f>SUM(G21:G22)/SUM(E21:E22)</f>
        <v>9.3457943925233641E-2</v>
      </c>
      <c r="K21" s="15"/>
      <c r="L21" s="16"/>
      <c r="M21" s="16"/>
      <c r="N21" s="16"/>
      <c r="O21" s="16"/>
      <c r="P21" s="16"/>
      <c r="Q21" s="16"/>
      <c r="R21" s="16"/>
      <c r="S21" s="16"/>
      <c r="T21" s="16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</row>
    <row r="22" spans="1:124" s="7" customFormat="1" x14ac:dyDescent="0.2">
      <c r="A22" s="7">
        <v>2024</v>
      </c>
      <c r="B22" s="7" t="s">
        <v>10</v>
      </c>
      <c r="C22" s="7" t="s">
        <v>41</v>
      </c>
      <c r="D22" s="7" t="s">
        <v>42</v>
      </c>
      <c r="E22" s="7">
        <v>12</v>
      </c>
      <c r="F22" s="7">
        <v>3</v>
      </c>
      <c r="G22" s="7">
        <v>0</v>
      </c>
      <c r="H22" s="7">
        <v>3</v>
      </c>
      <c r="I22" s="7">
        <v>11</v>
      </c>
      <c r="J22" s="8"/>
      <c r="K22" s="15"/>
      <c r="L22" s="16"/>
      <c r="M22" s="16"/>
      <c r="N22" s="16"/>
      <c r="O22" s="16"/>
      <c r="P22" s="16"/>
      <c r="Q22" s="16"/>
      <c r="R22" s="16"/>
      <c r="S22" s="16"/>
      <c r="T22" s="16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</row>
    <row r="23" spans="1:124" x14ac:dyDescent="0.2">
      <c r="A23">
        <v>2024</v>
      </c>
      <c r="B23" t="s">
        <v>43</v>
      </c>
      <c r="C23" t="s">
        <v>15</v>
      </c>
      <c r="D23" t="s">
        <v>16</v>
      </c>
      <c r="E23">
        <v>7</v>
      </c>
      <c r="F23">
        <v>1</v>
      </c>
      <c r="G23">
        <v>0</v>
      </c>
      <c r="H23">
        <v>1</v>
      </c>
      <c r="I23">
        <v>1</v>
      </c>
      <c r="J23" s="2">
        <v>0</v>
      </c>
    </row>
    <row r="24" spans="1:124" x14ac:dyDescent="0.2">
      <c r="A24">
        <v>2024</v>
      </c>
      <c r="B24" t="s">
        <v>43</v>
      </c>
      <c r="C24" t="s">
        <v>16</v>
      </c>
      <c r="D24" t="s">
        <v>17</v>
      </c>
      <c r="E24">
        <v>1</v>
      </c>
      <c r="F24">
        <v>5</v>
      </c>
      <c r="G24">
        <v>0</v>
      </c>
      <c r="H24">
        <v>5</v>
      </c>
      <c r="I24">
        <v>1</v>
      </c>
      <c r="J24" s="2"/>
    </row>
    <row r="25" spans="1:124" x14ac:dyDescent="0.2">
      <c r="A25">
        <v>2024</v>
      </c>
      <c r="B25" t="s">
        <v>43</v>
      </c>
      <c r="C25" t="s">
        <v>18</v>
      </c>
      <c r="D25" t="s">
        <v>19</v>
      </c>
      <c r="E25">
        <v>5</v>
      </c>
      <c r="F25">
        <v>4</v>
      </c>
      <c r="G25">
        <v>0</v>
      </c>
      <c r="H25">
        <v>4</v>
      </c>
      <c r="I25">
        <v>2</v>
      </c>
      <c r="J25" s="2">
        <v>0</v>
      </c>
    </row>
    <row r="26" spans="1:124" x14ac:dyDescent="0.2">
      <c r="A26">
        <v>2024</v>
      </c>
      <c r="B26" t="s">
        <v>43</v>
      </c>
      <c r="C26" t="s">
        <v>20</v>
      </c>
      <c r="D26" t="s">
        <v>21</v>
      </c>
      <c r="E26">
        <v>1</v>
      </c>
      <c r="F26">
        <v>10</v>
      </c>
      <c r="G26">
        <v>0</v>
      </c>
      <c r="H26">
        <v>10</v>
      </c>
      <c r="I26">
        <v>3</v>
      </c>
      <c r="J26" s="2">
        <v>0</v>
      </c>
    </row>
    <row r="27" spans="1:124" x14ac:dyDescent="0.2">
      <c r="A27">
        <v>2024</v>
      </c>
      <c r="B27" t="s">
        <v>43</v>
      </c>
      <c r="C27" t="s">
        <v>21</v>
      </c>
      <c r="D27" t="s">
        <v>22</v>
      </c>
      <c r="E27">
        <v>9</v>
      </c>
      <c r="F27">
        <v>4</v>
      </c>
      <c r="G27">
        <v>0</v>
      </c>
      <c r="H27">
        <v>4</v>
      </c>
      <c r="I27">
        <v>3</v>
      </c>
      <c r="J27" s="2"/>
    </row>
    <row r="28" spans="1:124" x14ac:dyDescent="0.2">
      <c r="A28">
        <v>2024</v>
      </c>
      <c r="B28" t="s">
        <v>43</v>
      </c>
      <c r="C28" t="s">
        <v>23</v>
      </c>
      <c r="D28" t="s">
        <v>24</v>
      </c>
      <c r="E28">
        <v>2</v>
      </c>
      <c r="F28">
        <v>4</v>
      </c>
      <c r="G28">
        <v>0</v>
      </c>
      <c r="H28">
        <v>4</v>
      </c>
      <c r="I28">
        <v>4</v>
      </c>
      <c r="J28" s="2">
        <v>0</v>
      </c>
    </row>
    <row r="29" spans="1:124" x14ac:dyDescent="0.2">
      <c r="A29">
        <v>2024</v>
      </c>
      <c r="B29" t="s">
        <v>43</v>
      </c>
      <c r="C29" t="s">
        <v>24</v>
      </c>
      <c r="D29" t="s">
        <v>25</v>
      </c>
      <c r="E29">
        <v>4</v>
      </c>
      <c r="F29">
        <v>3</v>
      </c>
      <c r="G29">
        <v>0</v>
      </c>
      <c r="H29">
        <v>3</v>
      </c>
      <c r="I29">
        <v>4</v>
      </c>
      <c r="J29" s="2"/>
    </row>
    <row r="30" spans="1:124" x14ac:dyDescent="0.2">
      <c r="A30">
        <v>2024</v>
      </c>
      <c r="B30" t="s">
        <v>43</v>
      </c>
      <c r="C30" t="s">
        <v>26</v>
      </c>
      <c r="D30" t="s">
        <v>27</v>
      </c>
      <c r="E30">
        <v>3</v>
      </c>
      <c r="F30">
        <v>3</v>
      </c>
      <c r="G30">
        <v>0</v>
      </c>
      <c r="H30">
        <v>3</v>
      </c>
      <c r="I30">
        <v>5</v>
      </c>
      <c r="J30" s="2">
        <v>0</v>
      </c>
    </row>
    <row r="31" spans="1:124" x14ac:dyDescent="0.2">
      <c r="A31">
        <v>2024</v>
      </c>
      <c r="B31" t="s">
        <v>43</v>
      </c>
      <c r="C31" t="s">
        <v>28</v>
      </c>
      <c r="D31" t="s">
        <v>29</v>
      </c>
      <c r="E31">
        <v>7</v>
      </c>
      <c r="F31">
        <v>3</v>
      </c>
      <c r="G31">
        <v>0</v>
      </c>
      <c r="H31">
        <v>3</v>
      </c>
      <c r="I31">
        <v>6</v>
      </c>
      <c r="J31" s="2">
        <v>0</v>
      </c>
    </row>
    <row r="32" spans="1:124" x14ac:dyDescent="0.2">
      <c r="A32">
        <v>2024</v>
      </c>
      <c r="B32" t="s">
        <v>43</v>
      </c>
      <c r="C32" t="s">
        <v>30</v>
      </c>
      <c r="D32" t="s">
        <v>31</v>
      </c>
      <c r="E32">
        <v>13</v>
      </c>
      <c r="F32">
        <v>3</v>
      </c>
      <c r="G32">
        <v>0</v>
      </c>
      <c r="H32">
        <v>3</v>
      </c>
      <c r="I32">
        <v>7</v>
      </c>
      <c r="J32" s="2">
        <v>0</v>
      </c>
    </row>
    <row r="33" spans="1:10" x14ac:dyDescent="0.2">
      <c r="A33">
        <v>2024</v>
      </c>
      <c r="B33" t="s">
        <v>43</v>
      </c>
      <c r="C33" t="s">
        <v>31</v>
      </c>
      <c r="D33" t="s">
        <v>32</v>
      </c>
      <c r="E33">
        <v>4</v>
      </c>
      <c r="F33" t="s">
        <v>32</v>
      </c>
      <c r="G33" t="s">
        <v>32</v>
      </c>
      <c r="H33" t="s">
        <v>32</v>
      </c>
      <c r="I33">
        <v>7</v>
      </c>
      <c r="J33" s="2"/>
    </row>
    <row r="34" spans="1:10" x14ac:dyDescent="0.2">
      <c r="A34">
        <v>2024</v>
      </c>
      <c r="B34" t="s">
        <v>43</v>
      </c>
      <c r="C34" t="s">
        <v>33</v>
      </c>
      <c r="D34" t="s">
        <v>34</v>
      </c>
      <c r="E34">
        <v>10</v>
      </c>
      <c r="F34">
        <v>8</v>
      </c>
      <c r="G34">
        <v>0</v>
      </c>
      <c r="H34">
        <v>8</v>
      </c>
      <c r="I34">
        <v>8</v>
      </c>
      <c r="J34" s="2">
        <v>0</v>
      </c>
    </row>
    <row r="35" spans="1:10" x14ac:dyDescent="0.2">
      <c r="A35">
        <v>2024</v>
      </c>
      <c r="B35" t="s">
        <v>43</v>
      </c>
      <c r="C35" t="s">
        <v>34</v>
      </c>
      <c r="D35" t="s">
        <v>35</v>
      </c>
      <c r="E35">
        <v>12</v>
      </c>
      <c r="F35">
        <v>14</v>
      </c>
      <c r="G35">
        <v>0</v>
      </c>
      <c r="H35">
        <v>14</v>
      </c>
      <c r="I35">
        <v>8</v>
      </c>
      <c r="J35" s="2"/>
    </row>
    <row r="36" spans="1:10" x14ac:dyDescent="0.2">
      <c r="A36">
        <v>2024</v>
      </c>
      <c r="B36" t="s">
        <v>43</v>
      </c>
      <c r="C36" t="s">
        <v>35</v>
      </c>
      <c r="D36" t="s">
        <v>36</v>
      </c>
      <c r="E36">
        <v>2</v>
      </c>
      <c r="F36">
        <v>4</v>
      </c>
      <c r="G36">
        <v>0</v>
      </c>
      <c r="H36">
        <v>4</v>
      </c>
      <c r="I36">
        <v>8</v>
      </c>
      <c r="J36" s="2"/>
    </row>
    <row r="37" spans="1:10" x14ac:dyDescent="0.2">
      <c r="A37">
        <v>2024</v>
      </c>
      <c r="B37" t="s">
        <v>43</v>
      </c>
      <c r="C37" t="s">
        <v>37</v>
      </c>
      <c r="D37" t="s">
        <v>38</v>
      </c>
      <c r="E37">
        <v>5</v>
      </c>
      <c r="F37">
        <v>8</v>
      </c>
      <c r="G37">
        <v>0</v>
      </c>
      <c r="H37">
        <v>8</v>
      </c>
      <c r="I37">
        <v>10</v>
      </c>
      <c r="J37" s="2">
        <v>0</v>
      </c>
    </row>
    <row r="38" spans="1:10" x14ac:dyDescent="0.2">
      <c r="A38">
        <v>2024</v>
      </c>
      <c r="B38" t="s">
        <v>43</v>
      </c>
      <c r="C38" t="s">
        <v>39</v>
      </c>
      <c r="D38" t="s">
        <v>32</v>
      </c>
      <c r="E38">
        <v>7</v>
      </c>
      <c r="F38" t="s">
        <v>32</v>
      </c>
      <c r="G38" t="s">
        <v>32</v>
      </c>
      <c r="H38" t="s">
        <v>32</v>
      </c>
      <c r="I38">
        <v>10</v>
      </c>
      <c r="J38" s="2"/>
    </row>
    <row r="39" spans="1:10" x14ac:dyDescent="0.2">
      <c r="A39">
        <v>2024</v>
      </c>
      <c r="B39" t="s">
        <v>43</v>
      </c>
      <c r="C39" t="s">
        <v>41</v>
      </c>
      <c r="D39" t="s">
        <v>32</v>
      </c>
      <c r="E39">
        <v>8</v>
      </c>
      <c r="F39" t="s">
        <v>32</v>
      </c>
      <c r="G39" t="s">
        <v>32</v>
      </c>
      <c r="H39" t="s">
        <v>32</v>
      </c>
      <c r="I39">
        <v>11</v>
      </c>
    </row>
    <row r="40" spans="1:10" x14ac:dyDescent="0.2">
      <c r="A40" s="1">
        <v>2024</v>
      </c>
      <c r="B40" s="1" t="s">
        <v>32</v>
      </c>
      <c r="C40" s="1" t="s">
        <v>44</v>
      </c>
      <c r="D40" s="1" t="s">
        <v>32</v>
      </c>
      <c r="E40" s="1">
        <v>0</v>
      </c>
      <c r="F40" s="1" t="s">
        <v>32</v>
      </c>
      <c r="G40" s="1" t="s">
        <v>32</v>
      </c>
      <c r="H40" s="1"/>
      <c r="I40" s="1"/>
      <c r="J40" s="1"/>
    </row>
    <row r="41" spans="1:10" x14ac:dyDescent="0.2">
      <c r="A41" s="1">
        <v>2024</v>
      </c>
      <c r="B41" s="1" t="s">
        <v>32</v>
      </c>
      <c r="C41" s="1" t="s">
        <v>45</v>
      </c>
      <c r="D41" s="1" t="s">
        <v>32</v>
      </c>
      <c r="E41" s="1">
        <v>0</v>
      </c>
      <c r="F41" s="1" t="s">
        <v>32</v>
      </c>
      <c r="G41" s="1" t="s">
        <v>32</v>
      </c>
      <c r="H41" s="1"/>
      <c r="I41" s="1"/>
      <c r="J41" s="1"/>
    </row>
    <row r="42" spans="1:10" x14ac:dyDescent="0.2">
      <c r="A42">
        <v>2025</v>
      </c>
      <c r="B42" t="s">
        <v>10</v>
      </c>
      <c r="C42" t="s">
        <v>46</v>
      </c>
      <c r="D42" t="s">
        <v>47</v>
      </c>
      <c r="E42">
        <v>7</v>
      </c>
      <c r="F42">
        <v>7</v>
      </c>
      <c r="G42">
        <v>0</v>
      </c>
      <c r="I42">
        <v>1</v>
      </c>
      <c r="J42">
        <v>0</v>
      </c>
    </row>
    <row r="43" spans="1:10" x14ac:dyDescent="0.2">
      <c r="A43">
        <v>2025</v>
      </c>
      <c r="B43" t="s">
        <v>10</v>
      </c>
      <c r="C43" t="s">
        <v>47</v>
      </c>
      <c r="D43" t="s">
        <v>32</v>
      </c>
      <c r="E43">
        <v>7</v>
      </c>
      <c r="F43" t="s">
        <v>32</v>
      </c>
      <c r="G43" t="s">
        <v>32</v>
      </c>
      <c r="I43">
        <v>1</v>
      </c>
    </row>
    <row r="44" spans="1:10" x14ac:dyDescent="0.2">
      <c r="A44">
        <v>2025</v>
      </c>
      <c r="B44" t="s">
        <v>10</v>
      </c>
      <c r="C44" t="s">
        <v>48</v>
      </c>
      <c r="D44" t="s">
        <v>49</v>
      </c>
      <c r="E44">
        <v>18</v>
      </c>
      <c r="F44">
        <v>33</v>
      </c>
      <c r="G44">
        <v>0</v>
      </c>
      <c r="I44">
        <v>2</v>
      </c>
      <c r="J44">
        <v>0</v>
      </c>
    </row>
    <row r="45" spans="1:10" x14ac:dyDescent="0.2">
      <c r="A45">
        <v>2025</v>
      </c>
      <c r="B45" t="s">
        <v>10</v>
      </c>
      <c r="C45" t="s">
        <v>49</v>
      </c>
      <c r="D45" t="s">
        <v>50</v>
      </c>
      <c r="E45">
        <v>23</v>
      </c>
      <c r="F45">
        <v>100</v>
      </c>
      <c r="G45">
        <v>0</v>
      </c>
      <c r="I45">
        <v>2</v>
      </c>
    </row>
    <row r="46" spans="1:10" x14ac:dyDescent="0.2">
      <c r="A46">
        <v>2025</v>
      </c>
      <c r="B46" t="s">
        <v>10</v>
      </c>
      <c r="C46" t="s">
        <v>50</v>
      </c>
      <c r="D46" t="s">
        <v>51</v>
      </c>
      <c r="E46">
        <v>96</v>
      </c>
      <c r="F46">
        <v>86</v>
      </c>
      <c r="G46">
        <v>0</v>
      </c>
      <c r="I46">
        <v>2</v>
      </c>
    </row>
    <row r="47" spans="1:10" x14ac:dyDescent="0.2">
      <c r="A47">
        <v>2025</v>
      </c>
      <c r="B47" t="s">
        <v>10</v>
      </c>
      <c r="C47" t="s">
        <v>51</v>
      </c>
      <c r="D47" t="s">
        <v>32</v>
      </c>
      <c r="E47">
        <v>0</v>
      </c>
      <c r="F47" t="s">
        <v>32</v>
      </c>
      <c r="G47" t="s">
        <v>32</v>
      </c>
      <c r="I47">
        <v>2</v>
      </c>
    </row>
    <row r="48" spans="1:10" x14ac:dyDescent="0.2">
      <c r="A48">
        <v>2025</v>
      </c>
      <c r="B48" t="s">
        <v>10</v>
      </c>
      <c r="C48" t="s">
        <v>52</v>
      </c>
      <c r="D48" t="s">
        <v>53</v>
      </c>
      <c r="E48">
        <v>24</v>
      </c>
      <c r="F48">
        <v>25</v>
      </c>
      <c r="G48">
        <v>0</v>
      </c>
      <c r="I48">
        <v>3</v>
      </c>
    </row>
    <row r="49" spans="1:9" x14ac:dyDescent="0.2">
      <c r="A49">
        <v>2025</v>
      </c>
      <c r="B49" t="s">
        <v>10</v>
      </c>
      <c r="C49" t="s">
        <v>53</v>
      </c>
      <c r="D49" t="s">
        <v>54</v>
      </c>
      <c r="E49">
        <v>24</v>
      </c>
      <c r="F49">
        <v>32</v>
      </c>
      <c r="G49">
        <v>0</v>
      </c>
      <c r="I49">
        <v>3</v>
      </c>
    </row>
    <row r="50" spans="1:9" x14ac:dyDescent="0.2">
      <c r="A50">
        <v>2025</v>
      </c>
      <c r="B50" t="s">
        <v>10</v>
      </c>
      <c r="C50" t="s">
        <v>54</v>
      </c>
      <c r="D50" t="s">
        <v>32</v>
      </c>
      <c r="E50">
        <v>0</v>
      </c>
      <c r="F50" t="s">
        <v>32</v>
      </c>
      <c r="G50" t="s">
        <v>32</v>
      </c>
      <c r="I50">
        <v>3</v>
      </c>
    </row>
    <row r="51" spans="1:9" x14ac:dyDescent="0.2">
      <c r="A51">
        <v>2025</v>
      </c>
      <c r="B51" t="s">
        <v>10</v>
      </c>
      <c r="C51" t="s">
        <v>55</v>
      </c>
      <c r="D51" t="s">
        <v>56</v>
      </c>
      <c r="E51">
        <v>34</v>
      </c>
      <c r="F51">
        <v>48</v>
      </c>
      <c r="G51">
        <v>0</v>
      </c>
      <c r="I51">
        <v>4</v>
      </c>
    </row>
    <row r="52" spans="1:9" x14ac:dyDescent="0.2">
      <c r="A52">
        <v>2025</v>
      </c>
      <c r="B52" t="s">
        <v>10</v>
      </c>
      <c r="C52" t="s">
        <v>56</v>
      </c>
      <c r="D52" t="s">
        <v>57</v>
      </c>
      <c r="E52">
        <v>42</v>
      </c>
      <c r="F52">
        <v>11</v>
      </c>
      <c r="G52">
        <v>0</v>
      </c>
      <c r="I52">
        <v>4</v>
      </c>
    </row>
    <row r="53" spans="1:9" x14ac:dyDescent="0.2">
      <c r="A53">
        <v>2025</v>
      </c>
      <c r="B53" t="s">
        <v>10</v>
      </c>
      <c r="C53" t="s">
        <v>57</v>
      </c>
      <c r="D53" t="s">
        <v>58</v>
      </c>
      <c r="E53">
        <v>0</v>
      </c>
      <c r="F53">
        <v>21</v>
      </c>
      <c r="G53">
        <v>0</v>
      </c>
      <c r="I53">
        <v>4</v>
      </c>
    </row>
    <row r="54" spans="1:9" x14ac:dyDescent="0.2">
      <c r="A54">
        <v>2025</v>
      </c>
      <c r="B54" t="s">
        <v>10</v>
      </c>
      <c r="C54" t="s">
        <v>58</v>
      </c>
      <c r="D54" t="s">
        <v>32</v>
      </c>
      <c r="E54">
        <v>0</v>
      </c>
      <c r="F54" t="s">
        <v>32</v>
      </c>
      <c r="G54" t="s">
        <v>32</v>
      </c>
      <c r="I54">
        <v>4</v>
      </c>
    </row>
    <row r="55" spans="1:9" x14ac:dyDescent="0.2">
      <c r="A55">
        <v>2025</v>
      </c>
      <c r="B55" t="s">
        <v>10</v>
      </c>
      <c r="C55" t="s">
        <v>59</v>
      </c>
      <c r="D55" t="s">
        <v>60</v>
      </c>
      <c r="E55">
        <v>13</v>
      </c>
      <c r="F55">
        <v>11</v>
      </c>
      <c r="G55">
        <v>0</v>
      </c>
      <c r="I55">
        <v>5</v>
      </c>
    </row>
    <row r="56" spans="1:9" x14ac:dyDescent="0.2">
      <c r="A56">
        <v>2025</v>
      </c>
      <c r="B56" t="s">
        <v>10</v>
      </c>
      <c r="C56" t="s">
        <v>60</v>
      </c>
      <c r="D56" t="s">
        <v>61</v>
      </c>
      <c r="E56">
        <v>0</v>
      </c>
      <c r="F56">
        <v>3</v>
      </c>
      <c r="G56">
        <v>0</v>
      </c>
      <c r="I56">
        <v>5</v>
      </c>
    </row>
    <row r="57" spans="1:9" x14ac:dyDescent="0.2">
      <c r="A57">
        <v>2025</v>
      </c>
      <c r="B57" t="s">
        <v>10</v>
      </c>
      <c r="C57" t="s">
        <v>61</v>
      </c>
      <c r="D57" t="s">
        <v>32</v>
      </c>
      <c r="E57">
        <v>0</v>
      </c>
      <c r="F57" t="s">
        <v>32</v>
      </c>
      <c r="G57" t="s">
        <v>32</v>
      </c>
      <c r="I57">
        <v>5</v>
      </c>
    </row>
    <row r="58" spans="1:9" x14ac:dyDescent="0.2">
      <c r="A58">
        <v>2025</v>
      </c>
      <c r="B58" t="s">
        <v>10</v>
      </c>
      <c r="C58" t="s">
        <v>62</v>
      </c>
      <c r="D58" t="s">
        <v>63</v>
      </c>
      <c r="E58">
        <v>8</v>
      </c>
      <c r="F58">
        <v>20</v>
      </c>
      <c r="G58">
        <v>0</v>
      </c>
      <c r="I58">
        <v>6</v>
      </c>
    </row>
    <row r="59" spans="1:9" x14ac:dyDescent="0.2">
      <c r="A59">
        <v>2025</v>
      </c>
      <c r="B59" t="s">
        <v>10</v>
      </c>
      <c r="C59" t="s">
        <v>63</v>
      </c>
      <c r="D59" t="s">
        <v>64</v>
      </c>
      <c r="E59">
        <v>21</v>
      </c>
      <c r="F59">
        <v>9</v>
      </c>
      <c r="G59">
        <v>0</v>
      </c>
      <c r="I59">
        <v>6</v>
      </c>
    </row>
    <row r="60" spans="1:9" x14ac:dyDescent="0.2">
      <c r="A60">
        <v>2025</v>
      </c>
      <c r="B60" t="s">
        <v>10</v>
      </c>
      <c r="C60" t="s">
        <v>64</v>
      </c>
      <c r="D60" t="s">
        <v>65</v>
      </c>
      <c r="E60">
        <v>9</v>
      </c>
      <c r="F60">
        <v>10</v>
      </c>
      <c r="G60">
        <v>0</v>
      </c>
      <c r="I60">
        <v>6</v>
      </c>
    </row>
    <row r="61" spans="1:9" x14ac:dyDescent="0.2">
      <c r="A61">
        <v>2025</v>
      </c>
      <c r="B61" t="s">
        <v>10</v>
      </c>
      <c r="C61" t="s">
        <v>65</v>
      </c>
      <c r="D61" t="s">
        <v>32</v>
      </c>
      <c r="E61">
        <v>0</v>
      </c>
      <c r="F61" t="s">
        <v>32</v>
      </c>
      <c r="G61" t="s">
        <v>32</v>
      </c>
      <c r="I61">
        <v>6</v>
      </c>
    </row>
    <row r="62" spans="1:9" x14ac:dyDescent="0.2">
      <c r="A62">
        <v>2025</v>
      </c>
      <c r="B62" t="s">
        <v>10</v>
      </c>
      <c r="C62" t="s">
        <v>66</v>
      </c>
      <c r="D62" t="s">
        <v>67</v>
      </c>
      <c r="E62">
        <v>18</v>
      </c>
      <c r="F62">
        <v>1</v>
      </c>
      <c r="G62">
        <v>0</v>
      </c>
      <c r="I62">
        <v>7</v>
      </c>
    </row>
    <row r="63" spans="1:9" x14ac:dyDescent="0.2">
      <c r="A63">
        <v>2025</v>
      </c>
      <c r="B63" t="s">
        <v>10</v>
      </c>
      <c r="C63" t="s">
        <v>67</v>
      </c>
      <c r="D63" t="s">
        <v>68</v>
      </c>
      <c r="E63">
        <v>1</v>
      </c>
      <c r="F63">
        <v>16</v>
      </c>
      <c r="G63">
        <v>0</v>
      </c>
      <c r="I63">
        <v>7</v>
      </c>
    </row>
    <row r="64" spans="1:9" x14ac:dyDescent="0.2">
      <c r="A64">
        <v>2025</v>
      </c>
      <c r="B64" t="s">
        <v>10</v>
      </c>
      <c r="C64" t="s">
        <v>68</v>
      </c>
      <c r="D64" t="s">
        <v>69</v>
      </c>
      <c r="E64">
        <v>15</v>
      </c>
      <c r="F64">
        <v>7</v>
      </c>
      <c r="G64">
        <v>0</v>
      </c>
      <c r="I64">
        <v>7</v>
      </c>
    </row>
    <row r="65" spans="1:9" x14ac:dyDescent="0.2">
      <c r="A65">
        <v>2025</v>
      </c>
      <c r="B65" t="s">
        <v>10</v>
      </c>
      <c r="C65" t="s">
        <v>69</v>
      </c>
      <c r="D65" t="s">
        <v>32</v>
      </c>
      <c r="E65">
        <v>0</v>
      </c>
      <c r="F65" t="s">
        <v>32</v>
      </c>
      <c r="G65" t="s">
        <v>32</v>
      </c>
      <c r="I65">
        <v>7</v>
      </c>
    </row>
    <row r="66" spans="1:9" x14ac:dyDescent="0.2">
      <c r="A66">
        <v>2025</v>
      </c>
      <c r="B66" t="s">
        <v>10</v>
      </c>
      <c r="C66" t="s">
        <v>70</v>
      </c>
      <c r="D66" t="s">
        <v>71</v>
      </c>
      <c r="E66">
        <v>461</v>
      </c>
      <c r="F66">
        <v>11</v>
      </c>
      <c r="G66">
        <v>0</v>
      </c>
      <c r="I66">
        <v>8</v>
      </c>
    </row>
    <row r="67" spans="1:9" x14ac:dyDescent="0.2">
      <c r="A67">
        <v>2025</v>
      </c>
      <c r="B67" t="s">
        <v>10</v>
      </c>
      <c r="C67" t="s">
        <v>71</v>
      </c>
      <c r="D67" t="s">
        <v>32</v>
      </c>
      <c r="E67">
        <v>0</v>
      </c>
      <c r="F67" t="s">
        <v>32</v>
      </c>
      <c r="G67" t="s">
        <v>32</v>
      </c>
      <c r="I67">
        <v>8</v>
      </c>
    </row>
    <row r="68" spans="1:9" x14ac:dyDescent="0.2">
      <c r="A68">
        <v>2025</v>
      </c>
      <c r="B68" t="s">
        <v>10</v>
      </c>
      <c r="C68" t="s">
        <v>72</v>
      </c>
      <c r="D68" t="s">
        <v>73</v>
      </c>
      <c r="E68">
        <v>25</v>
      </c>
      <c r="F68">
        <v>113</v>
      </c>
      <c r="G68">
        <v>0</v>
      </c>
      <c r="I68">
        <v>9</v>
      </c>
    </row>
    <row r="69" spans="1:9" x14ac:dyDescent="0.2">
      <c r="A69">
        <v>2025</v>
      </c>
      <c r="B69" t="s">
        <v>10</v>
      </c>
      <c r="C69" t="s">
        <v>73</v>
      </c>
      <c r="D69" t="s">
        <v>74</v>
      </c>
      <c r="E69">
        <v>111</v>
      </c>
      <c r="F69">
        <v>46</v>
      </c>
      <c r="G69">
        <v>0</v>
      </c>
      <c r="I69">
        <v>9</v>
      </c>
    </row>
    <row r="70" spans="1:9" x14ac:dyDescent="0.2">
      <c r="A70">
        <v>2025</v>
      </c>
      <c r="B70" t="s">
        <v>10</v>
      </c>
      <c r="C70" t="s">
        <v>74</v>
      </c>
      <c r="D70" t="s">
        <v>32</v>
      </c>
      <c r="E70">
        <v>45</v>
      </c>
      <c r="F70" t="s">
        <v>32</v>
      </c>
      <c r="G70" t="s">
        <v>32</v>
      </c>
      <c r="I70">
        <v>9</v>
      </c>
    </row>
    <row r="71" spans="1:9" x14ac:dyDescent="0.2">
      <c r="A71">
        <v>2025</v>
      </c>
      <c r="B71" t="s">
        <v>10</v>
      </c>
      <c r="C71" t="s">
        <v>75</v>
      </c>
      <c r="D71" t="s">
        <v>76</v>
      </c>
      <c r="E71">
        <v>110</v>
      </c>
      <c r="F71">
        <v>347</v>
      </c>
      <c r="G71">
        <v>0</v>
      </c>
      <c r="I71">
        <v>9</v>
      </c>
    </row>
    <row r="72" spans="1:9" x14ac:dyDescent="0.2">
      <c r="A72">
        <v>2025</v>
      </c>
      <c r="B72" t="s">
        <v>10</v>
      </c>
      <c r="C72" t="s">
        <v>76</v>
      </c>
      <c r="D72" t="s">
        <v>32</v>
      </c>
      <c r="E72">
        <v>0</v>
      </c>
      <c r="F72" t="s">
        <v>32</v>
      </c>
      <c r="G72" t="s">
        <v>32</v>
      </c>
      <c r="I72">
        <v>9</v>
      </c>
    </row>
    <row r="73" spans="1:9" x14ac:dyDescent="0.2">
      <c r="A73">
        <v>2025</v>
      </c>
      <c r="B73" t="s">
        <v>10</v>
      </c>
      <c r="C73" t="s">
        <v>77</v>
      </c>
      <c r="D73" t="s">
        <v>78</v>
      </c>
      <c r="E73">
        <v>75</v>
      </c>
      <c r="F73">
        <v>136</v>
      </c>
      <c r="G73">
        <v>0</v>
      </c>
      <c r="I73">
        <v>10</v>
      </c>
    </row>
    <row r="74" spans="1:9" x14ac:dyDescent="0.2">
      <c r="A74">
        <v>2025</v>
      </c>
      <c r="B74" t="s">
        <v>10</v>
      </c>
      <c r="C74" t="s">
        <v>78</v>
      </c>
      <c r="D74" t="s">
        <v>79</v>
      </c>
      <c r="E74">
        <v>131</v>
      </c>
      <c r="F74">
        <v>13</v>
      </c>
      <c r="G74">
        <v>0</v>
      </c>
      <c r="I74">
        <v>10</v>
      </c>
    </row>
    <row r="75" spans="1:9" x14ac:dyDescent="0.2">
      <c r="A75">
        <v>2025</v>
      </c>
      <c r="B75" t="s">
        <v>10</v>
      </c>
      <c r="C75" t="s">
        <v>79</v>
      </c>
      <c r="D75" t="s">
        <v>80</v>
      </c>
      <c r="E75">
        <v>0</v>
      </c>
      <c r="F75">
        <v>6</v>
      </c>
      <c r="G75">
        <v>0</v>
      </c>
      <c r="I75">
        <v>10</v>
      </c>
    </row>
    <row r="76" spans="1:9" x14ac:dyDescent="0.2">
      <c r="A76">
        <v>2025</v>
      </c>
      <c r="B76" t="s">
        <v>10</v>
      </c>
      <c r="C76" t="s">
        <v>80</v>
      </c>
      <c r="D76" t="s">
        <v>81</v>
      </c>
      <c r="E76">
        <v>3</v>
      </c>
      <c r="F76">
        <v>3</v>
      </c>
      <c r="G76">
        <v>0</v>
      </c>
      <c r="I76">
        <v>10</v>
      </c>
    </row>
    <row r="77" spans="1:9" x14ac:dyDescent="0.2">
      <c r="A77">
        <v>2025</v>
      </c>
      <c r="B77" t="s">
        <v>10</v>
      </c>
      <c r="C77" t="s">
        <v>81</v>
      </c>
      <c r="D77" t="s">
        <v>32</v>
      </c>
      <c r="E77">
        <v>2</v>
      </c>
      <c r="F77" t="s">
        <v>32</v>
      </c>
      <c r="G77" t="s">
        <v>32</v>
      </c>
      <c r="I77">
        <v>10</v>
      </c>
    </row>
    <row r="78" spans="1:9" x14ac:dyDescent="0.2">
      <c r="A78">
        <v>2025</v>
      </c>
      <c r="B78" t="s">
        <v>10</v>
      </c>
      <c r="C78" t="s">
        <v>82</v>
      </c>
      <c r="D78" t="s">
        <v>83</v>
      </c>
      <c r="E78">
        <v>126</v>
      </c>
      <c r="F78">
        <v>86</v>
      </c>
      <c r="G78">
        <v>0</v>
      </c>
      <c r="I78">
        <v>11</v>
      </c>
    </row>
    <row r="79" spans="1:9" x14ac:dyDescent="0.2">
      <c r="A79">
        <v>2025</v>
      </c>
      <c r="B79" t="s">
        <v>10</v>
      </c>
      <c r="C79" t="s">
        <v>83</v>
      </c>
      <c r="D79" t="s">
        <v>32</v>
      </c>
      <c r="E79">
        <v>84</v>
      </c>
      <c r="F79" t="s">
        <v>32</v>
      </c>
      <c r="G79" t="s">
        <v>32</v>
      </c>
      <c r="I79">
        <v>11</v>
      </c>
    </row>
    <row r="80" spans="1:9" x14ac:dyDescent="0.2">
      <c r="A80">
        <v>2025</v>
      </c>
      <c r="B80" t="s">
        <v>10</v>
      </c>
      <c r="C80" t="s">
        <v>84</v>
      </c>
      <c r="D80" t="s">
        <v>32</v>
      </c>
      <c r="E80">
        <v>0</v>
      </c>
      <c r="F80" t="s">
        <v>32</v>
      </c>
      <c r="G80" t="s">
        <v>32</v>
      </c>
      <c r="I80">
        <v>11</v>
      </c>
    </row>
    <row r="81" spans="1:10" x14ac:dyDescent="0.2">
      <c r="A81">
        <v>2025</v>
      </c>
      <c r="B81" t="s">
        <v>10</v>
      </c>
      <c r="C81" t="s">
        <v>85</v>
      </c>
      <c r="D81" t="s">
        <v>86</v>
      </c>
      <c r="E81">
        <v>24</v>
      </c>
      <c r="F81">
        <v>4</v>
      </c>
      <c r="G81">
        <v>0</v>
      </c>
      <c r="I81">
        <v>12</v>
      </c>
    </row>
    <row r="82" spans="1:10" x14ac:dyDescent="0.2">
      <c r="A82">
        <v>2025</v>
      </c>
      <c r="B82" t="s">
        <v>10</v>
      </c>
      <c r="C82" t="s">
        <v>86</v>
      </c>
      <c r="D82" t="s">
        <v>87</v>
      </c>
      <c r="E82">
        <v>4</v>
      </c>
      <c r="F82">
        <v>4</v>
      </c>
      <c r="G82">
        <v>0</v>
      </c>
      <c r="I82">
        <v>12</v>
      </c>
    </row>
    <row r="83" spans="1:10" x14ac:dyDescent="0.2">
      <c r="A83">
        <v>2025</v>
      </c>
      <c r="B83" t="s">
        <v>10</v>
      </c>
      <c r="C83" t="s">
        <v>87</v>
      </c>
      <c r="D83" t="s">
        <v>32</v>
      </c>
      <c r="E83">
        <v>4</v>
      </c>
      <c r="F83" t="s">
        <v>32</v>
      </c>
      <c r="G83" t="s">
        <v>32</v>
      </c>
      <c r="I83">
        <v>12</v>
      </c>
    </row>
    <row r="84" spans="1:10" x14ac:dyDescent="0.2">
      <c r="A84">
        <v>2025</v>
      </c>
      <c r="B84" t="s">
        <v>10</v>
      </c>
      <c r="C84" t="s">
        <v>88</v>
      </c>
      <c r="D84" t="s">
        <v>89</v>
      </c>
      <c r="E84">
        <v>9</v>
      </c>
      <c r="F84">
        <v>2</v>
      </c>
      <c r="G84">
        <v>0</v>
      </c>
      <c r="I84">
        <v>13</v>
      </c>
      <c r="J84">
        <v>3.0303030000000002E-2</v>
      </c>
    </row>
    <row r="85" spans="1:10" x14ac:dyDescent="0.2">
      <c r="A85">
        <v>2025</v>
      </c>
      <c r="B85" t="s">
        <v>10</v>
      </c>
      <c r="C85" t="s">
        <v>89</v>
      </c>
      <c r="D85" t="s">
        <v>90</v>
      </c>
      <c r="E85">
        <v>0</v>
      </c>
      <c r="F85">
        <v>19</v>
      </c>
      <c r="G85">
        <v>0</v>
      </c>
      <c r="I85">
        <v>13</v>
      </c>
    </row>
    <row r="86" spans="1:10" x14ac:dyDescent="0.2">
      <c r="A86">
        <v>2025</v>
      </c>
      <c r="B86" t="s">
        <v>10</v>
      </c>
      <c r="C86" t="s">
        <v>90</v>
      </c>
      <c r="D86" t="s">
        <v>91</v>
      </c>
      <c r="E86">
        <v>19</v>
      </c>
      <c r="F86">
        <v>5</v>
      </c>
      <c r="G86">
        <v>1</v>
      </c>
      <c r="I86">
        <v>13</v>
      </c>
    </row>
    <row r="87" spans="1:10" x14ac:dyDescent="0.2">
      <c r="A87">
        <v>2025</v>
      </c>
      <c r="B87" t="s">
        <v>10</v>
      </c>
      <c r="C87" t="s">
        <v>91</v>
      </c>
      <c r="D87" t="s">
        <v>92</v>
      </c>
      <c r="E87">
        <v>5</v>
      </c>
      <c r="F87">
        <v>6</v>
      </c>
      <c r="G87">
        <v>0</v>
      </c>
      <c r="I87">
        <v>13</v>
      </c>
    </row>
    <row r="88" spans="1:10" x14ac:dyDescent="0.2">
      <c r="A88">
        <v>2025</v>
      </c>
      <c r="B88" t="s">
        <v>10</v>
      </c>
      <c r="C88" t="s">
        <v>92</v>
      </c>
      <c r="D88" t="s">
        <v>32</v>
      </c>
      <c r="E88">
        <v>0</v>
      </c>
      <c r="F88" t="s">
        <v>32</v>
      </c>
      <c r="G88" t="s">
        <v>32</v>
      </c>
      <c r="I88">
        <v>13</v>
      </c>
    </row>
    <row r="89" spans="1:10" x14ac:dyDescent="0.2">
      <c r="A89">
        <v>2025</v>
      </c>
      <c r="B89" t="s">
        <v>43</v>
      </c>
      <c r="C89" t="s">
        <v>50</v>
      </c>
      <c r="D89" t="s">
        <v>32</v>
      </c>
      <c r="E89">
        <v>1</v>
      </c>
      <c r="F89" t="s">
        <v>32</v>
      </c>
      <c r="G89" t="s">
        <v>32</v>
      </c>
      <c r="I89">
        <v>1</v>
      </c>
    </row>
    <row r="90" spans="1:10" x14ac:dyDescent="0.2">
      <c r="A90">
        <v>2025</v>
      </c>
      <c r="B90" t="s">
        <v>43</v>
      </c>
      <c r="C90" t="s">
        <v>54</v>
      </c>
      <c r="D90" t="s">
        <v>32</v>
      </c>
      <c r="E90">
        <v>0</v>
      </c>
      <c r="F90" t="s">
        <v>32</v>
      </c>
      <c r="G90" t="s">
        <v>32</v>
      </c>
    </row>
    <row r="91" spans="1:10" x14ac:dyDescent="0.2">
      <c r="A91">
        <v>2025</v>
      </c>
      <c r="B91" t="s">
        <v>43</v>
      </c>
      <c r="C91" t="s">
        <v>55</v>
      </c>
      <c r="D91" t="s">
        <v>32</v>
      </c>
      <c r="E91">
        <v>2</v>
      </c>
      <c r="F91" t="s">
        <v>32</v>
      </c>
      <c r="G91" t="s">
        <v>32</v>
      </c>
      <c r="I91">
        <v>2</v>
      </c>
    </row>
    <row r="92" spans="1:10" x14ac:dyDescent="0.2">
      <c r="A92">
        <v>2025</v>
      </c>
      <c r="B92" t="s">
        <v>43</v>
      </c>
      <c r="C92" t="s">
        <v>59</v>
      </c>
      <c r="D92" t="s">
        <v>60</v>
      </c>
      <c r="E92">
        <v>2</v>
      </c>
      <c r="F92">
        <v>8</v>
      </c>
      <c r="G92">
        <v>0</v>
      </c>
      <c r="I92">
        <v>3</v>
      </c>
    </row>
    <row r="93" spans="1:10" x14ac:dyDescent="0.2">
      <c r="A93">
        <v>2025</v>
      </c>
      <c r="B93" t="s">
        <v>43</v>
      </c>
      <c r="C93" t="s">
        <v>60</v>
      </c>
      <c r="D93" t="s">
        <v>32</v>
      </c>
      <c r="E93">
        <v>0</v>
      </c>
      <c r="F93" t="s">
        <v>32</v>
      </c>
      <c r="G93" t="s">
        <v>32</v>
      </c>
      <c r="I93">
        <v>3</v>
      </c>
    </row>
    <row r="94" spans="1:10" x14ac:dyDescent="0.2">
      <c r="A94">
        <v>2025</v>
      </c>
      <c r="B94" t="s">
        <v>43</v>
      </c>
      <c r="C94" t="s">
        <v>65</v>
      </c>
      <c r="D94" t="s">
        <v>32</v>
      </c>
      <c r="E94">
        <v>0</v>
      </c>
      <c r="F94" t="s">
        <v>32</v>
      </c>
      <c r="G94" t="s">
        <v>32</v>
      </c>
      <c r="I94">
        <v>4</v>
      </c>
    </row>
    <row r="95" spans="1:10" x14ac:dyDescent="0.2">
      <c r="A95">
        <v>2025</v>
      </c>
      <c r="B95" t="s">
        <v>43</v>
      </c>
      <c r="C95" t="s">
        <v>66</v>
      </c>
      <c r="D95" t="s">
        <v>32</v>
      </c>
      <c r="E95">
        <v>3</v>
      </c>
      <c r="F95" t="s">
        <v>32</v>
      </c>
      <c r="G95" t="s">
        <v>32</v>
      </c>
      <c r="I95">
        <v>5</v>
      </c>
    </row>
    <row r="96" spans="1:10" x14ac:dyDescent="0.2">
      <c r="A96">
        <v>2025</v>
      </c>
      <c r="B96" t="s">
        <v>43</v>
      </c>
      <c r="C96" t="s">
        <v>68</v>
      </c>
      <c r="D96" t="s">
        <v>32</v>
      </c>
      <c r="E96">
        <v>1</v>
      </c>
      <c r="F96" t="s">
        <v>32</v>
      </c>
      <c r="G96" t="s">
        <v>32</v>
      </c>
      <c r="I96">
        <v>5</v>
      </c>
    </row>
    <row r="97" spans="1:9" x14ac:dyDescent="0.2">
      <c r="A97">
        <v>2025</v>
      </c>
      <c r="B97" t="s">
        <v>43</v>
      </c>
      <c r="C97" t="s">
        <v>70</v>
      </c>
      <c r="D97" t="s">
        <v>71</v>
      </c>
      <c r="E97">
        <v>3</v>
      </c>
      <c r="F97">
        <v>1</v>
      </c>
      <c r="G97">
        <v>0</v>
      </c>
      <c r="I97">
        <v>6</v>
      </c>
    </row>
    <row r="98" spans="1:9" x14ac:dyDescent="0.2">
      <c r="A98">
        <v>2025</v>
      </c>
      <c r="B98" t="s">
        <v>43</v>
      </c>
      <c r="C98" t="s">
        <v>71</v>
      </c>
      <c r="D98" t="s">
        <v>32</v>
      </c>
      <c r="E98">
        <v>0</v>
      </c>
      <c r="F98" t="s">
        <v>32</v>
      </c>
      <c r="G98" t="s">
        <v>32</v>
      </c>
      <c r="I98">
        <v>6</v>
      </c>
    </row>
    <row r="99" spans="1:9" x14ac:dyDescent="0.2">
      <c r="A99">
        <v>2025</v>
      </c>
      <c r="B99" t="s">
        <v>43</v>
      </c>
      <c r="C99" t="s">
        <v>73</v>
      </c>
      <c r="D99" t="s">
        <v>74</v>
      </c>
      <c r="E99">
        <v>2</v>
      </c>
      <c r="F99">
        <v>2</v>
      </c>
      <c r="G99">
        <v>0</v>
      </c>
      <c r="I99">
        <v>7</v>
      </c>
    </row>
    <row r="100" spans="1:9" x14ac:dyDescent="0.2">
      <c r="A100">
        <v>2025</v>
      </c>
      <c r="B100" t="s">
        <v>43</v>
      </c>
      <c r="C100" t="s">
        <v>74</v>
      </c>
      <c r="D100" t="s">
        <v>32</v>
      </c>
      <c r="E100">
        <v>2</v>
      </c>
      <c r="F100" t="s">
        <v>32</v>
      </c>
      <c r="G100" t="s">
        <v>32</v>
      </c>
      <c r="I100">
        <v>7</v>
      </c>
    </row>
    <row r="101" spans="1:9" x14ac:dyDescent="0.2">
      <c r="A101">
        <v>2025</v>
      </c>
      <c r="B101" t="s">
        <v>43</v>
      </c>
      <c r="C101" t="s">
        <v>75</v>
      </c>
      <c r="D101" t="s">
        <v>32</v>
      </c>
      <c r="E101">
        <v>140</v>
      </c>
      <c r="F101" t="s">
        <v>32</v>
      </c>
      <c r="G101" t="s">
        <v>32</v>
      </c>
      <c r="I101">
        <v>7</v>
      </c>
    </row>
    <row r="102" spans="1:9" x14ac:dyDescent="0.2">
      <c r="A102">
        <v>2025</v>
      </c>
      <c r="B102" t="s">
        <v>43</v>
      </c>
      <c r="C102" t="s">
        <v>78</v>
      </c>
      <c r="D102" t="s">
        <v>79</v>
      </c>
      <c r="E102">
        <v>16</v>
      </c>
      <c r="F102">
        <v>15</v>
      </c>
      <c r="G102">
        <v>0</v>
      </c>
      <c r="I102">
        <v>8</v>
      </c>
    </row>
    <row r="103" spans="1:9" x14ac:dyDescent="0.2">
      <c r="A103">
        <v>2025</v>
      </c>
      <c r="B103" t="s">
        <v>43</v>
      </c>
      <c r="C103" t="s">
        <v>79</v>
      </c>
      <c r="D103" t="s">
        <v>80</v>
      </c>
      <c r="E103">
        <v>0</v>
      </c>
      <c r="F103">
        <v>5</v>
      </c>
      <c r="G103">
        <v>0</v>
      </c>
      <c r="I103">
        <v>8</v>
      </c>
    </row>
    <row r="104" spans="1:9" x14ac:dyDescent="0.2">
      <c r="A104">
        <v>2025</v>
      </c>
      <c r="B104" t="s">
        <v>43</v>
      </c>
      <c r="C104" t="s">
        <v>80</v>
      </c>
      <c r="D104" t="s">
        <v>81</v>
      </c>
      <c r="E104">
        <v>5</v>
      </c>
      <c r="F104">
        <v>6</v>
      </c>
      <c r="G104">
        <v>0</v>
      </c>
      <c r="I104">
        <v>8</v>
      </c>
    </row>
    <row r="105" spans="1:9" x14ac:dyDescent="0.2">
      <c r="A105">
        <v>2025</v>
      </c>
      <c r="B105" t="s">
        <v>43</v>
      </c>
      <c r="C105" t="s">
        <v>81</v>
      </c>
      <c r="D105" t="s">
        <v>32</v>
      </c>
      <c r="E105">
        <v>6</v>
      </c>
      <c r="F105" t="s">
        <v>32</v>
      </c>
      <c r="G105" t="s">
        <v>32</v>
      </c>
      <c r="I105">
        <v>8</v>
      </c>
    </row>
    <row r="106" spans="1:9" x14ac:dyDescent="0.2">
      <c r="A106">
        <v>2025</v>
      </c>
      <c r="B106" t="s">
        <v>43</v>
      </c>
      <c r="C106" t="s">
        <v>82</v>
      </c>
      <c r="D106" t="s">
        <v>83</v>
      </c>
      <c r="E106">
        <v>4</v>
      </c>
      <c r="F106">
        <v>3</v>
      </c>
      <c r="G106">
        <v>0</v>
      </c>
      <c r="I106">
        <v>9</v>
      </c>
    </row>
    <row r="107" spans="1:9" x14ac:dyDescent="0.2">
      <c r="A107">
        <v>2025</v>
      </c>
      <c r="B107" t="s">
        <v>43</v>
      </c>
      <c r="C107" t="s">
        <v>83</v>
      </c>
      <c r="D107" t="s">
        <v>32</v>
      </c>
      <c r="E107">
        <v>3</v>
      </c>
      <c r="F107" t="s">
        <v>32</v>
      </c>
      <c r="G107" t="s">
        <v>32</v>
      </c>
      <c r="I107">
        <v>9</v>
      </c>
    </row>
    <row r="108" spans="1:9" x14ac:dyDescent="0.2">
      <c r="A108">
        <v>2025</v>
      </c>
      <c r="B108" t="s">
        <v>43</v>
      </c>
      <c r="C108" t="s">
        <v>84</v>
      </c>
      <c r="D108" t="s">
        <v>32</v>
      </c>
      <c r="E108">
        <v>0</v>
      </c>
      <c r="F108" t="s">
        <v>32</v>
      </c>
      <c r="G108" t="s">
        <v>32</v>
      </c>
      <c r="I108">
        <v>9</v>
      </c>
    </row>
    <row r="109" spans="1:9" x14ac:dyDescent="0.2">
      <c r="A109">
        <v>2025</v>
      </c>
      <c r="B109" t="s">
        <v>43</v>
      </c>
      <c r="C109" t="s">
        <v>85</v>
      </c>
      <c r="D109" t="s">
        <v>86</v>
      </c>
      <c r="E109">
        <v>2</v>
      </c>
      <c r="F109">
        <v>1</v>
      </c>
      <c r="G109">
        <v>0</v>
      </c>
      <c r="I109">
        <v>10</v>
      </c>
    </row>
    <row r="110" spans="1:9" x14ac:dyDescent="0.2">
      <c r="A110">
        <v>2025</v>
      </c>
      <c r="B110" t="s">
        <v>43</v>
      </c>
      <c r="C110" t="s">
        <v>86</v>
      </c>
      <c r="D110" t="s">
        <v>87</v>
      </c>
      <c r="E110">
        <v>1</v>
      </c>
      <c r="F110">
        <v>1</v>
      </c>
      <c r="G110">
        <v>0</v>
      </c>
      <c r="I110">
        <v>10</v>
      </c>
    </row>
    <row r="111" spans="1:9" x14ac:dyDescent="0.2">
      <c r="A111">
        <v>2025</v>
      </c>
      <c r="B111" t="s">
        <v>43</v>
      </c>
      <c r="C111" t="s">
        <v>88</v>
      </c>
      <c r="D111" t="s">
        <v>32</v>
      </c>
      <c r="E111">
        <v>4</v>
      </c>
      <c r="F111" t="s">
        <v>32</v>
      </c>
      <c r="G111" t="s">
        <v>32</v>
      </c>
      <c r="I111">
        <v>11</v>
      </c>
    </row>
    <row r="112" spans="1:9" x14ac:dyDescent="0.2">
      <c r="A112">
        <v>2025</v>
      </c>
      <c r="B112" t="s">
        <v>43</v>
      </c>
      <c r="C112" t="s">
        <v>91</v>
      </c>
      <c r="D112" t="s">
        <v>32</v>
      </c>
      <c r="E112">
        <v>2</v>
      </c>
      <c r="F112" t="s">
        <v>32</v>
      </c>
      <c r="G112" t="s">
        <v>32</v>
      </c>
      <c r="I112">
        <v>11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mark_rel_sum test2 - workup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Davidson, Katie (DFO/MPO)</cp:lastModifiedBy>
  <dcterms:created xsi:type="dcterms:W3CDTF">2026-02-06T17:40:47Z</dcterms:created>
  <dcterms:modified xsi:type="dcterms:W3CDTF">2026-03-19T23:46:25Z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2026-02-06T18:08:14Z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9e5e9b1e-48ac-4ce4-8221-9be2db6a492c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